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ulJameelJainudeen\Downloads\test\"/>
    </mc:Choice>
  </mc:AlternateContent>
  <xr:revisionPtr revIDLastSave="0" documentId="8_{C3FEAC43-F124-4A7E-BEAF-E02253B2B5AF}" xr6:coauthVersionLast="47" xr6:coauthVersionMax="47" xr10:uidLastSave="{00000000-0000-0000-0000-000000000000}"/>
  <bookViews>
    <workbookView xWindow="-108" yWindow="-108" windowWidth="23256" windowHeight="12456" xr2:uid="{34D0A34C-B18F-4AB4-8DAD-BB5B0A7086FE}"/>
  </bookViews>
  <sheets>
    <sheet name="Claim Level" sheetId="1" r:id="rId1"/>
    <sheet name="Line Level" sheetId="2" r:id="rId2"/>
    <sheet name="LIMS Da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V6" i="3" l="1"/>
  <c r="Q6" i="3"/>
  <c r="V5" i="3"/>
  <c r="V4" i="3"/>
  <c r="V3" i="3"/>
  <c r="V2" i="3"/>
</calcChain>
</file>

<file path=xl/sharedStrings.xml><?xml version="1.0" encoding="utf-8"?>
<sst xmlns="http://schemas.openxmlformats.org/spreadsheetml/2006/main" count="530" uniqueCount="242">
  <si>
    <t>VisitNum</t>
  </si>
  <si>
    <t>T/F</t>
  </si>
  <si>
    <t>ENC/CPT/TC</t>
  </si>
  <si>
    <t>UID</t>
  </si>
  <si>
    <t>Payer Name</t>
  </si>
  <si>
    <t>FinancialClass</t>
  </si>
  <si>
    <t>Panel</t>
  </si>
  <si>
    <t>Clinic Name</t>
  </si>
  <si>
    <t>Provider</t>
  </si>
  <si>
    <t>ReferringProvider</t>
  </si>
  <si>
    <t>Facility</t>
  </si>
  <si>
    <t>ChartNum</t>
  </si>
  <si>
    <t>PatientName</t>
  </si>
  <si>
    <t>DOB</t>
  </si>
  <si>
    <t>SubscriberID</t>
  </si>
  <si>
    <t>Accession</t>
  </si>
  <si>
    <t>BeginDOS</t>
  </si>
  <si>
    <t>Aging DOS</t>
  </si>
  <si>
    <t>EndDOS</t>
  </si>
  <si>
    <t>DOE</t>
  </si>
  <si>
    <t>Aging DOE</t>
  </si>
  <si>
    <t>Entry Week</t>
  </si>
  <si>
    <t>LastBillDate</t>
  </si>
  <si>
    <t>Billed Week</t>
  </si>
  <si>
    <t>CPT</t>
  </si>
  <si>
    <t>Units</t>
  </si>
  <si>
    <t>Line Level CPT</t>
  </si>
  <si>
    <t>Claim Level CPT</t>
  </si>
  <si>
    <t>Posted Date</t>
  </si>
  <si>
    <t>Deposit Date</t>
  </si>
  <si>
    <t>DOD Week</t>
  </si>
  <si>
    <t>Cheque No</t>
  </si>
  <si>
    <t>Denial Date</t>
  </si>
  <si>
    <t>Denied Week</t>
  </si>
  <si>
    <t>Denial Code</t>
  </si>
  <si>
    <t>Line Level Denial Code</t>
  </si>
  <si>
    <t>Claim Level Denial Code</t>
  </si>
  <si>
    <t>Line Level ICD</t>
  </si>
  <si>
    <t>Claim Level ICD</t>
  </si>
  <si>
    <t>POS</t>
  </si>
  <si>
    <t>TOS</t>
  </si>
  <si>
    <t>Modifier</t>
  </si>
  <si>
    <t>Expected Payment</t>
  </si>
  <si>
    <t>TotalCharge</t>
  </si>
  <si>
    <t>CarrierPayment</t>
  </si>
  <si>
    <t>PatientPayment</t>
  </si>
  <si>
    <t>TotalWO</t>
  </si>
  <si>
    <t>CarrierWO</t>
  </si>
  <si>
    <t>TotalBalance</t>
  </si>
  <si>
    <t>CarrierBalance</t>
  </si>
  <si>
    <t>PatientBalance</t>
  </si>
  <si>
    <t>TotalAllowed</t>
  </si>
  <si>
    <t>PatientWO</t>
  </si>
  <si>
    <t>TotalPayment</t>
  </si>
  <si>
    <t>Time to Pay</t>
  </si>
  <si>
    <t>Payment %</t>
  </si>
  <si>
    <t>Bill Status</t>
  </si>
  <si>
    <t>Fully Paid #</t>
  </si>
  <si>
    <t>Fully Paid $</t>
  </si>
  <si>
    <t>Adjucticated #</t>
  </si>
  <si>
    <t>Adjucticated $</t>
  </si>
  <si>
    <t>30 Bucket #</t>
  </si>
  <si>
    <t>30 Bucket $</t>
  </si>
  <si>
    <t>60 Bucket #</t>
  </si>
  <si>
    <t>60 Bucket $</t>
  </si>
  <si>
    <t>Claim Status</t>
  </si>
  <si>
    <t>107445387798456.17</t>
  </si>
  <si>
    <t>107445387798</t>
  </si>
  <si>
    <t>AETNA- MCR - HMO - AET07</t>
  </si>
  <si>
    <t>RP - ID-RPP</t>
  </si>
  <si>
    <t>RPP</t>
  </si>
  <si>
    <t>Pure Health Texas</t>
  </si>
  <si>
    <t>LLC, TEXAS DIAGNOSTIC LABORATORIES</t>
  </si>
  <si>
    <t>FEIG,SAMANTHA</t>
  </si>
  <si>
    <t>TEXAS DIAGNOSTIC LABORATORIES LLC</t>
  </si>
  <si>
    <t>OHANA,JACOB</t>
  </si>
  <si>
    <t>W219563017</t>
  </si>
  <si>
    <t>TD001166201</t>
  </si>
  <si>
    <t>120+</t>
  </si>
  <si>
    <t/>
  </si>
  <si>
    <t>87798*13</t>
  </si>
  <si>
    <t>87486*1,87500*1,87541*1,87581*1,87631*1,87640*1,87641*1,87651*1,87798*13</t>
  </si>
  <si>
    <t xml:space="preserve">J06.9 </t>
  </si>
  <si>
    <t>J06.9</t>
  </si>
  <si>
    <t xml:space="preserve">INDEPENDENT LABORATORY                            </t>
  </si>
  <si>
    <t>DIAGNOSTIC LABORATORY</t>
  </si>
  <si>
    <t>Billed</t>
  </si>
  <si>
    <t>30+</t>
  </si>
  <si>
    <t>60+</t>
  </si>
  <si>
    <t>No Response</t>
  </si>
  <si>
    <t>10745698502525</t>
  </si>
  <si>
    <t>107456985025</t>
  </si>
  <si>
    <t>UNITED HEALTHCARE - UNI20</t>
  </si>
  <si>
    <t>BL - BLOOD</t>
  </si>
  <si>
    <t>Blood</t>
  </si>
  <si>
    <t>Loving Touch</t>
  </si>
  <si>
    <t>EZECHIGBO,EMILIANA</t>
  </si>
  <si>
    <t>JIMENEZ,ALEX</t>
  </si>
  <si>
    <t>TB001168031, TB001168032</t>
  </si>
  <si>
    <t>Week 1</t>
  </si>
  <si>
    <t>85025*1</t>
  </si>
  <si>
    <t>80053*1,80061*1,82306*1,85025*1</t>
  </si>
  <si>
    <t>Week 3</t>
  </si>
  <si>
    <t>26275B1000810632</t>
  </si>
  <si>
    <t>CO-197</t>
  </si>
  <si>
    <t xml:space="preserve">E55.9 </t>
  </si>
  <si>
    <t>E55.9</t>
  </si>
  <si>
    <t>Adjucticated</t>
  </si>
  <si>
    <t>Fully Denied</t>
  </si>
  <si>
    <t>10745708502525</t>
  </si>
  <si>
    <t>107457085025</t>
  </si>
  <si>
    <t>BELFER,ALEXANDER</t>
  </si>
  <si>
    <t>W080689999</t>
  </si>
  <si>
    <t>TB001168071, TB001168072</t>
  </si>
  <si>
    <t>80053*1,80061*1,85025*1</t>
  </si>
  <si>
    <t>10745718502525</t>
  </si>
  <si>
    <t>107457185025</t>
  </si>
  <si>
    <t>TEXAS MEDICARE - TEX03</t>
  </si>
  <si>
    <t>OZUMBA,AMOS E</t>
  </si>
  <si>
    <t>9X07UG2KA79</t>
  </si>
  <si>
    <t>TB001167961, TB001167962</t>
  </si>
  <si>
    <t>80053*1,84443*1,85025*1</t>
  </si>
  <si>
    <t>820663094</t>
  </si>
  <si>
    <t xml:space="preserve">I48.0 </t>
  </si>
  <si>
    <t>I48.0</t>
  </si>
  <si>
    <t>Fully Paid</t>
  </si>
  <si>
    <t>10745728502525</t>
  </si>
  <si>
    <t>107457285025</t>
  </si>
  <si>
    <t>ADAMS,BRANDON M</t>
  </si>
  <si>
    <t>6HH1Q11UQ37</t>
  </si>
  <si>
    <t>TB001167881, TB001167882</t>
  </si>
  <si>
    <t>Week 2</t>
  </si>
  <si>
    <t>Week 4</t>
  </si>
  <si>
    <t>478043907</t>
  </si>
  <si>
    <t>Medicare Fee Schedule</t>
  </si>
  <si>
    <t>10744538748635.09</t>
  </si>
  <si>
    <t>107445387486</t>
  </si>
  <si>
    <t>87486*1</t>
  </si>
  <si>
    <t>10744538750035.09</t>
  </si>
  <si>
    <t>107445387500</t>
  </si>
  <si>
    <t>87500*1</t>
  </si>
  <si>
    <t>87486*1,87500*1</t>
  </si>
  <si>
    <t>10744538754135.09</t>
  </si>
  <si>
    <t>107445387541</t>
  </si>
  <si>
    <t>87541*1</t>
  </si>
  <si>
    <t>87486*1,87500*1,87541*1</t>
  </si>
  <si>
    <t>10744538758135.09</t>
  </si>
  <si>
    <t>107445387581</t>
  </si>
  <si>
    <t>87581*1</t>
  </si>
  <si>
    <t>87486*1,87500*1,87541*1,87581*1</t>
  </si>
  <si>
    <t>107445387631142.63</t>
  </si>
  <si>
    <t>107445387631</t>
  </si>
  <si>
    <t>87631*1</t>
  </si>
  <si>
    <t>87486*1,87500*1,87541*1,87581*1,87631*1</t>
  </si>
  <si>
    <t>Requisition ID</t>
  </si>
  <si>
    <t>Patient Firstname</t>
  </si>
  <si>
    <t>Patient Lastname</t>
  </si>
  <si>
    <t>Patient Name</t>
  </si>
  <si>
    <t>Gender</t>
  </si>
  <si>
    <t>State</t>
  </si>
  <si>
    <t>Patient Address</t>
  </si>
  <si>
    <t>Patient Zip</t>
  </si>
  <si>
    <t>City</t>
  </si>
  <si>
    <t>Patient Email</t>
  </si>
  <si>
    <t>Patient ID</t>
  </si>
  <si>
    <t>Medications</t>
  </si>
  <si>
    <t>Accession Date</t>
  </si>
  <si>
    <t>ICD codes</t>
  </si>
  <si>
    <t>Primary Insurance</t>
  </si>
  <si>
    <t>Primary policyId</t>
  </si>
  <si>
    <t>Provider Name</t>
  </si>
  <si>
    <t>Provider NPI</t>
  </si>
  <si>
    <t>Sales Representatives</t>
  </si>
  <si>
    <t>Sample IDs</t>
  </si>
  <si>
    <t>CRN</t>
  </si>
  <si>
    <t>Category</t>
  </si>
  <si>
    <t>Panels</t>
  </si>
  <si>
    <t>Panel Name</t>
  </si>
  <si>
    <t>Collection Date</t>
  </si>
  <si>
    <t>Collection Week</t>
  </si>
  <si>
    <t>Resulted Date</t>
  </si>
  <si>
    <t>Report Date</t>
  </si>
  <si>
    <t>Result Status</t>
  </si>
  <si>
    <t>Client</t>
  </si>
  <si>
    <t>Payment status</t>
  </si>
  <si>
    <t>Order status</t>
  </si>
  <si>
    <t>New Status</t>
  </si>
  <si>
    <t>Bill Category</t>
  </si>
  <si>
    <t>Sub Status</t>
  </si>
  <si>
    <t xml:space="preserve">Billed Date </t>
  </si>
  <si>
    <t>Time to Result</t>
  </si>
  <si>
    <t xml:space="preserve">Time to Bill </t>
  </si>
  <si>
    <t>Arsalan</t>
  </si>
  <si>
    <t>Salimi</t>
  </si>
  <si>
    <t>Arsalan Salimi</t>
  </si>
  <si>
    <t>Male</t>
  </si>
  <si>
    <t>Texas</t>
  </si>
  <si>
    <t>12000 Westheimer Rd</t>
  </si>
  <si>
    <t>Houston</t>
  </si>
  <si>
    <t>noreply@txdxlabs.com</t>
  </si>
  <si>
    <t>null</t>
  </si>
  <si>
    <t>ZACH LIU</t>
  </si>
  <si>
    <t>salesrep, Sales Rep, TxDx Walkin</t>
  </si>
  <si>
    <t>O001160641</t>
  </si>
  <si>
    <t>Unable To Locate</t>
  </si>
  <si>
    <t>Blood - Other</t>
  </si>
  <si>
    <t>Not Resulted</t>
  </si>
  <si>
    <t>TxDX Walkin</t>
  </si>
  <si>
    <t>VIP</t>
  </si>
  <si>
    <t>Rejected</t>
  </si>
  <si>
    <t>Unbilled</t>
  </si>
  <si>
    <t>-</t>
  </si>
  <si>
    <t>Shehzad</t>
  </si>
  <si>
    <t>Dalal</t>
  </si>
  <si>
    <t>Shehzad Dalal</t>
  </si>
  <si>
    <t>26415 Katy Springs Ln</t>
  </si>
  <si>
    <t>Katy</t>
  </si>
  <si>
    <t>shehzad@txdxlabs.com</t>
  </si>
  <si>
    <t>O001160651</t>
  </si>
  <si>
    <t>Shehroz</t>
  </si>
  <si>
    <t>Khan</t>
  </si>
  <si>
    <t>Shehroz Khan</t>
  </si>
  <si>
    <t>12000 Westeimer Rd. Ste. 100</t>
  </si>
  <si>
    <t>noemail@jeevaysoft.com</t>
  </si>
  <si>
    <t>O001160661</t>
  </si>
  <si>
    <t>Shawn</t>
  </si>
  <si>
    <t>Maddah</t>
  </si>
  <si>
    <t>Shawn Maddah</t>
  </si>
  <si>
    <t>O001160671</t>
  </si>
  <si>
    <t>Dawon</t>
  </si>
  <si>
    <t>Porterie</t>
  </si>
  <si>
    <t>Dawon Porterie</t>
  </si>
  <si>
    <t>1100 Wilcrest Dr</t>
  </si>
  <si>
    <t>["E55.9"]</t>
  </si>
  <si>
    <t>MOLINA HEALTHCARE TEXAS</t>
  </si>
  <si>
    <t>YETUNDE OGUNJUMELO</t>
  </si>
  <si>
    <t>Dr Salimi, Mark Barragan, Tiffany Williams, Tox Consult</t>
  </si>
  <si>
    <t>O001171071</t>
  </si>
  <si>
    <t>Resulted</t>
  </si>
  <si>
    <t>Insurance</t>
  </si>
  <si>
    <t>Completed</t>
  </si>
  <si>
    <t>Billable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</si>
</sst>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0"/>
      <color theme="0"/>
      <name val="Calibri"/>
      <family val="2"/>
    </font>
    <font>
      <sz val="10"/>
      <color theme="1"/>
      <name val="Aptos Narrow"/>
      <family val="2"/>
      <scheme val="minor"/>
    </font>
    <font>
      <b/>
      <sz val="10"/>
      <color theme="0"/>
      <name val="Aptos Display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  <xf numFmtId="44" fontId="2" fillId="5" borderId="1" xfId="1" applyFont="1" applyFill="1" applyBorder="1" applyAlignment="1">
      <alignment horizontal="center" vertical="center"/>
    </xf>
    <xf numFmtId="44" fontId="2" fillId="2" borderId="1" xfId="1" applyFont="1" applyFill="1" applyBorder="1" applyAlignment="1">
      <alignment horizontal="center" vertical="center"/>
    </xf>
    <xf numFmtId="1" fontId="2" fillId="4" borderId="1" xfId="1" applyNumberFormat="1" applyFont="1" applyFill="1" applyBorder="1" applyAlignment="1">
      <alignment horizontal="center" vertical="center"/>
    </xf>
    <xf numFmtId="9" fontId="2" fillId="4" borderId="1" xfId="2" applyFont="1" applyFill="1" applyBorder="1" applyAlignment="1">
      <alignment horizontal="center" vertical="center"/>
    </xf>
    <xf numFmtId="9" fontId="3" fillId="4" borderId="1" xfId="2" applyFont="1" applyFill="1" applyBorder="1" applyAlignment="1">
      <alignment horizontal="center" vertical="center"/>
    </xf>
    <xf numFmtId="44" fontId="3" fillId="4" borderId="1" xfId="1" applyFont="1" applyFill="1" applyBorder="1" applyAlignment="1">
      <alignment horizontal="center" vertical="center"/>
    </xf>
    <xf numFmtId="0" fontId="3" fillId="4" borderId="1" xfId="2" applyNumberFormat="1" applyFont="1" applyFill="1" applyBorder="1" applyAlignment="1">
      <alignment horizontal="center" vertical="center"/>
    </xf>
    <xf numFmtId="0" fontId="3" fillId="4" borderId="1" xfId="1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44" fontId="4" fillId="0" borderId="1" xfId="1" applyFont="1" applyBorder="1" applyAlignment="1">
      <alignment horizontal="center" vertical="center"/>
    </xf>
    <xf numFmtId="1" fontId="4" fillId="0" borderId="1" xfId="1" applyNumberFormat="1" applyFont="1" applyBorder="1" applyAlignment="1">
      <alignment horizontal="center" vertical="center"/>
    </xf>
    <xf numFmtId="9" fontId="4" fillId="0" borderId="1" xfId="2" applyFont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4" fontId="5" fillId="4" borderId="1" xfId="0" applyNumberFormat="1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1" fontId="5" fillId="4" borderId="1" xfId="0" applyNumberFormat="1" applyFont="1" applyFill="1" applyBorder="1" applyAlignment="1">
      <alignment horizontal="center" vertical="center"/>
    </xf>
    <xf numFmtId="22" fontId="4" fillId="0" borderId="1" xfId="0" applyNumberFormat="1" applyFont="1" applyBorder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641FD-5B9A-4563-95B5-DA531E4F0653}">
  <dimension ref="A1:BN6"/>
  <sheetViews>
    <sheetView tabSelected="1" workbookViewId="0">
      <selection sqref="A1:BN6"/>
    </sheetView>
  </sheetViews>
  <sheetFormatPr defaultRowHeight="14.4" x14ac:dyDescent="0.3"/>
  <sheetData>
    <row r="1" spans="1:66" x14ac:dyDescent="0.3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3" t="s">
        <v>17</v>
      </c>
      <c r="S1" s="2" t="s">
        <v>18</v>
      </c>
      <c r="T1" s="1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2" t="s">
        <v>24</v>
      </c>
      <c r="Z1" s="1" t="s">
        <v>25</v>
      </c>
      <c r="AA1" s="1" t="s">
        <v>26</v>
      </c>
      <c r="AB1" s="1" t="s">
        <v>27</v>
      </c>
      <c r="AC1" s="4" t="s">
        <v>28</v>
      </c>
      <c r="AD1" s="4" t="s">
        <v>29</v>
      </c>
      <c r="AE1" s="5" t="s">
        <v>30</v>
      </c>
      <c r="AF1" s="1" t="s">
        <v>31</v>
      </c>
      <c r="AG1" s="4" t="s">
        <v>32</v>
      </c>
      <c r="AH1" s="5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2" t="s">
        <v>39</v>
      </c>
      <c r="AO1" s="2" t="s">
        <v>40</v>
      </c>
      <c r="AP1" s="2" t="s">
        <v>41</v>
      </c>
      <c r="AQ1" s="6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8" t="s">
        <v>54</v>
      </c>
      <c r="BD1" s="9" t="s">
        <v>55</v>
      </c>
      <c r="BE1" s="10" t="s">
        <v>56</v>
      </c>
      <c r="BF1" s="10" t="s">
        <v>57</v>
      </c>
      <c r="BG1" s="11" t="s">
        <v>58</v>
      </c>
      <c r="BH1" s="10" t="s">
        <v>59</v>
      </c>
      <c r="BI1" s="11" t="s">
        <v>60</v>
      </c>
      <c r="BJ1" s="12" t="s">
        <v>61</v>
      </c>
      <c r="BK1" s="13" t="s">
        <v>62</v>
      </c>
      <c r="BL1" s="12" t="s">
        <v>63</v>
      </c>
      <c r="BM1" s="13" t="s">
        <v>64</v>
      </c>
      <c r="BN1" s="13" t="s">
        <v>65</v>
      </c>
    </row>
    <row r="2" spans="1:66" x14ac:dyDescent="0.3">
      <c r="A2" s="14">
        <v>1074453</v>
      </c>
      <c r="B2" s="14" t="b">
        <v>0</v>
      </c>
      <c r="C2" s="14" t="s">
        <v>66</v>
      </c>
      <c r="D2" s="14" t="s">
        <v>67</v>
      </c>
      <c r="E2" s="14" t="s">
        <v>68</v>
      </c>
      <c r="F2" s="14" t="s">
        <v>69</v>
      </c>
      <c r="G2" s="14" t="s">
        <v>70</v>
      </c>
      <c r="H2" s="14" t="s">
        <v>71</v>
      </c>
      <c r="I2" s="14" t="s">
        <v>72</v>
      </c>
      <c r="J2" s="14" t="s">
        <v>73</v>
      </c>
      <c r="K2" s="14" t="s">
        <v>74</v>
      </c>
      <c r="L2" s="14">
        <v>25885</v>
      </c>
      <c r="M2" s="14" t="s">
        <v>75</v>
      </c>
      <c r="N2" s="15">
        <v>45288</v>
      </c>
      <c r="O2" s="14" t="s">
        <v>76</v>
      </c>
      <c r="P2" s="14" t="s">
        <v>77</v>
      </c>
      <c r="Q2" s="15">
        <v>46030</v>
      </c>
      <c r="R2" s="15" t="s">
        <v>78</v>
      </c>
      <c r="S2" s="15">
        <v>46030</v>
      </c>
      <c r="T2" s="15">
        <v>46036</v>
      </c>
      <c r="U2" s="15" t="s">
        <v>78</v>
      </c>
      <c r="V2" s="15" t="s">
        <v>79</v>
      </c>
      <c r="W2" s="15">
        <v>46041</v>
      </c>
      <c r="X2" s="15" t="s">
        <v>79</v>
      </c>
      <c r="Y2" s="14">
        <v>87798</v>
      </c>
      <c r="Z2" s="14">
        <v>13</v>
      </c>
      <c r="AA2" s="14" t="s">
        <v>80</v>
      </c>
      <c r="AB2" s="14" t="s">
        <v>81</v>
      </c>
      <c r="AC2" s="15"/>
      <c r="AD2" s="15"/>
      <c r="AE2" s="15" t="s">
        <v>79</v>
      </c>
      <c r="AF2" s="14"/>
      <c r="AG2" s="15"/>
      <c r="AH2" s="15" t="s">
        <v>79</v>
      </c>
      <c r="AI2" s="14"/>
      <c r="AJ2" s="14"/>
      <c r="AK2" s="14"/>
      <c r="AL2" s="14" t="s">
        <v>82</v>
      </c>
      <c r="AM2" s="14" t="s">
        <v>83</v>
      </c>
      <c r="AN2" s="14" t="s">
        <v>84</v>
      </c>
      <c r="AO2" s="14" t="s">
        <v>85</v>
      </c>
      <c r="AP2" s="14"/>
      <c r="AQ2" s="16">
        <v>844.43000000000018</v>
      </c>
      <c r="AR2" s="16">
        <v>844.43000000000006</v>
      </c>
      <c r="AS2" s="16">
        <v>0</v>
      </c>
      <c r="AT2" s="16">
        <v>0</v>
      </c>
      <c r="AU2" s="16">
        <v>0</v>
      </c>
      <c r="AV2" s="16">
        <v>0</v>
      </c>
      <c r="AW2" s="16">
        <v>844.43000000000006</v>
      </c>
      <c r="AX2" s="16">
        <v>844.43000000000006</v>
      </c>
      <c r="AY2" s="16">
        <v>0</v>
      </c>
      <c r="AZ2" s="16">
        <v>844.43000000000006</v>
      </c>
      <c r="BA2" s="16">
        <v>0</v>
      </c>
      <c r="BB2" s="16">
        <v>0</v>
      </c>
      <c r="BC2" s="17"/>
      <c r="BD2" s="18">
        <v>0</v>
      </c>
      <c r="BE2" s="16" t="s">
        <v>86</v>
      </c>
      <c r="BF2" s="16"/>
      <c r="BG2" s="16"/>
      <c r="BH2" s="16"/>
      <c r="BI2" s="16"/>
      <c r="BJ2" s="16" t="s">
        <v>87</v>
      </c>
      <c r="BK2" s="16">
        <v>0</v>
      </c>
      <c r="BL2" s="16" t="s">
        <v>88</v>
      </c>
      <c r="BM2" s="16">
        <v>0</v>
      </c>
      <c r="BN2" s="16" t="s">
        <v>89</v>
      </c>
    </row>
    <row r="3" spans="1:66" x14ac:dyDescent="0.3">
      <c r="A3" s="14">
        <v>1074569</v>
      </c>
      <c r="B3" s="14" t="b">
        <v>0</v>
      </c>
      <c r="C3" s="14" t="s">
        <v>90</v>
      </c>
      <c r="D3" s="14" t="s">
        <v>91</v>
      </c>
      <c r="E3" s="14" t="s">
        <v>92</v>
      </c>
      <c r="F3" s="14" t="s">
        <v>93</v>
      </c>
      <c r="G3" s="14" t="s">
        <v>94</v>
      </c>
      <c r="H3" s="14" t="s">
        <v>95</v>
      </c>
      <c r="I3" s="14" t="s">
        <v>72</v>
      </c>
      <c r="J3" s="14" t="s">
        <v>96</v>
      </c>
      <c r="K3" s="14" t="s">
        <v>74</v>
      </c>
      <c r="L3" s="14">
        <v>25900</v>
      </c>
      <c r="M3" s="14" t="s">
        <v>97</v>
      </c>
      <c r="N3" s="15">
        <v>36595</v>
      </c>
      <c r="O3" s="14">
        <v>528118314</v>
      </c>
      <c r="P3" s="14" t="s">
        <v>98</v>
      </c>
      <c r="Q3" s="15">
        <v>46035</v>
      </c>
      <c r="R3" s="15" t="s">
        <v>78</v>
      </c>
      <c r="S3" s="15">
        <v>46035</v>
      </c>
      <c r="T3" s="15">
        <v>46040</v>
      </c>
      <c r="U3" s="15" t="s">
        <v>78</v>
      </c>
      <c r="V3" s="15" t="s">
        <v>79</v>
      </c>
      <c r="W3" s="15">
        <v>46288</v>
      </c>
      <c r="X3" s="15" t="s">
        <v>99</v>
      </c>
      <c r="Y3" s="14">
        <v>85025</v>
      </c>
      <c r="Z3" s="14">
        <v>1</v>
      </c>
      <c r="AA3" s="14" t="s">
        <v>100</v>
      </c>
      <c r="AB3" s="14" t="s">
        <v>101</v>
      </c>
      <c r="AC3" s="15">
        <v>46300</v>
      </c>
      <c r="AD3" s="15">
        <v>46300</v>
      </c>
      <c r="AE3" s="15" t="s">
        <v>102</v>
      </c>
      <c r="AF3" s="14" t="s">
        <v>103</v>
      </c>
      <c r="AG3" s="15">
        <v>46300</v>
      </c>
      <c r="AH3" s="15" t="s">
        <v>102</v>
      </c>
      <c r="AI3" s="14" t="s">
        <v>104</v>
      </c>
      <c r="AJ3" s="14" t="s">
        <v>104</v>
      </c>
      <c r="AK3" s="14" t="s">
        <v>104</v>
      </c>
      <c r="AL3" s="14" t="s">
        <v>105</v>
      </c>
      <c r="AM3" s="14" t="s">
        <v>106</v>
      </c>
      <c r="AN3" s="14" t="s">
        <v>84</v>
      </c>
      <c r="AO3" s="14" t="s">
        <v>85</v>
      </c>
      <c r="AP3" s="14"/>
      <c r="AQ3" s="16">
        <v>61.320000000000007</v>
      </c>
      <c r="AR3" s="16">
        <v>225</v>
      </c>
      <c r="AS3" s="16">
        <v>0</v>
      </c>
      <c r="AT3" s="16">
        <v>0</v>
      </c>
      <c r="AU3" s="16">
        <v>0</v>
      </c>
      <c r="AV3" s="16">
        <v>0</v>
      </c>
      <c r="AW3" s="16">
        <v>225</v>
      </c>
      <c r="AX3" s="16">
        <v>225</v>
      </c>
      <c r="AY3" s="16">
        <v>0</v>
      </c>
      <c r="AZ3" s="16">
        <v>225</v>
      </c>
      <c r="BA3" s="16">
        <v>0</v>
      </c>
      <c r="BB3" s="16">
        <v>0</v>
      </c>
      <c r="BC3" s="17">
        <v>12</v>
      </c>
      <c r="BD3" s="18">
        <v>0</v>
      </c>
      <c r="BE3" s="16" t="s">
        <v>86</v>
      </c>
      <c r="BF3" s="16"/>
      <c r="BG3" s="16"/>
      <c r="BH3" s="16" t="s">
        <v>107</v>
      </c>
      <c r="BI3" s="16">
        <v>0</v>
      </c>
      <c r="BJ3" s="16" t="s">
        <v>87</v>
      </c>
      <c r="BK3" s="16">
        <v>0</v>
      </c>
      <c r="BL3" s="16" t="s">
        <v>88</v>
      </c>
      <c r="BM3" s="16">
        <v>0</v>
      </c>
      <c r="BN3" s="16" t="s">
        <v>108</v>
      </c>
    </row>
    <row r="4" spans="1:66" x14ac:dyDescent="0.3">
      <c r="A4" s="14">
        <v>1074570</v>
      </c>
      <c r="B4" s="14" t="b">
        <v>0</v>
      </c>
      <c r="C4" s="14" t="s">
        <v>109</v>
      </c>
      <c r="D4" s="14" t="s">
        <v>110</v>
      </c>
      <c r="E4" s="14" t="s">
        <v>68</v>
      </c>
      <c r="F4" s="14" t="s">
        <v>93</v>
      </c>
      <c r="G4" s="14" t="s">
        <v>94</v>
      </c>
      <c r="H4" s="14" t="s">
        <v>95</v>
      </c>
      <c r="I4" s="14" t="s">
        <v>72</v>
      </c>
      <c r="J4" s="14" t="s">
        <v>96</v>
      </c>
      <c r="K4" s="14" t="s">
        <v>74</v>
      </c>
      <c r="L4" s="14">
        <v>25895</v>
      </c>
      <c r="M4" s="14" t="s">
        <v>111</v>
      </c>
      <c r="N4" s="15">
        <v>34977</v>
      </c>
      <c r="O4" s="14" t="s">
        <v>112</v>
      </c>
      <c r="P4" s="14" t="s">
        <v>113</v>
      </c>
      <c r="Q4" s="15">
        <v>46035</v>
      </c>
      <c r="R4" s="15" t="s">
        <v>78</v>
      </c>
      <c r="S4" s="15">
        <v>46035</v>
      </c>
      <c r="T4" s="15">
        <v>46040</v>
      </c>
      <c r="U4" s="15" t="s">
        <v>78</v>
      </c>
      <c r="V4" s="15" t="s">
        <v>79</v>
      </c>
      <c r="W4" s="15">
        <v>46041</v>
      </c>
      <c r="X4" s="15" t="s">
        <v>79</v>
      </c>
      <c r="Y4" s="14">
        <v>85025</v>
      </c>
      <c r="Z4" s="14">
        <v>1</v>
      </c>
      <c r="AA4" s="14" t="s">
        <v>100</v>
      </c>
      <c r="AB4" s="14" t="s">
        <v>114</v>
      </c>
      <c r="AC4" s="15"/>
      <c r="AD4" s="15"/>
      <c r="AE4" s="15" t="s">
        <v>79</v>
      </c>
      <c r="AF4" s="14"/>
      <c r="AG4" s="15"/>
      <c r="AH4" s="15" t="s">
        <v>79</v>
      </c>
      <c r="AI4" s="14"/>
      <c r="AJ4" s="14"/>
      <c r="AK4" s="14"/>
      <c r="AL4" s="14" t="s">
        <v>105</v>
      </c>
      <c r="AM4" s="14" t="s">
        <v>106</v>
      </c>
      <c r="AN4" s="14" t="s">
        <v>84</v>
      </c>
      <c r="AO4" s="14" t="s">
        <v>85</v>
      </c>
      <c r="AP4" s="14"/>
      <c r="AQ4" s="16">
        <v>31.720000000000002</v>
      </c>
      <c r="AR4" s="16">
        <v>125</v>
      </c>
      <c r="AS4" s="16">
        <v>0</v>
      </c>
      <c r="AT4" s="16">
        <v>0</v>
      </c>
      <c r="AU4" s="16">
        <v>0</v>
      </c>
      <c r="AV4" s="16">
        <v>0</v>
      </c>
      <c r="AW4" s="16">
        <v>125</v>
      </c>
      <c r="AX4" s="16">
        <v>125</v>
      </c>
      <c r="AY4" s="16">
        <v>0</v>
      </c>
      <c r="AZ4" s="16">
        <v>125</v>
      </c>
      <c r="BA4" s="16">
        <v>0</v>
      </c>
      <c r="BB4" s="16">
        <v>0</v>
      </c>
      <c r="BC4" s="17"/>
      <c r="BD4" s="18">
        <v>0</v>
      </c>
      <c r="BE4" s="16" t="s">
        <v>86</v>
      </c>
      <c r="BF4" s="16"/>
      <c r="BG4" s="16"/>
      <c r="BH4" s="16"/>
      <c r="BI4" s="16"/>
      <c r="BJ4" s="16" t="s">
        <v>87</v>
      </c>
      <c r="BK4" s="16">
        <v>0</v>
      </c>
      <c r="BL4" s="16" t="s">
        <v>88</v>
      </c>
      <c r="BM4" s="16">
        <v>0</v>
      </c>
      <c r="BN4" s="16" t="s">
        <v>89</v>
      </c>
    </row>
    <row r="5" spans="1:66" x14ac:dyDescent="0.3">
      <c r="A5" s="14">
        <v>1074571</v>
      </c>
      <c r="B5" s="14" t="b">
        <v>0</v>
      </c>
      <c r="C5" s="14" t="s">
        <v>115</v>
      </c>
      <c r="D5" s="14" t="s">
        <v>116</v>
      </c>
      <c r="E5" s="14" t="s">
        <v>117</v>
      </c>
      <c r="F5" s="14" t="s">
        <v>93</v>
      </c>
      <c r="G5" s="14" t="s">
        <v>94</v>
      </c>
      <c r="H5" s="14" t="s">
        <v>95</v>
      </c>
      <c r="I5" s="14" t="s">
        <v>72</v>
      </c>
      <c r="J5" s="14" t="s">
        <v>96</v>
      </c>
      <c r="K5" s="14" t="s">
        <v>74</v>
      </c>
      <c r="L5" s="14">
        <v>25886</v>
      </c>
      <c r="M5" s="14" t="s">
        <v>118</v>
      </c>
      <c r="N5" s="15">
        <v>16703</v>
      </c>
      <c r="O5" s="14" t="s">
        <v>119</v>
      </c>
      <c r="P5" s="14" t="s">
        <v>120</v>
      </c>
      <c r="Q5" s="15">
        <v>46035</v>
      </c>
      <c r="R5" s="15" t="s">
        <v>78</v>
      </c>
      <c r="S5" s="15">
        <v>46035</v>
      </c>
      <c r="T5" s="15">
        <v>46040</v>
      </c>
      <c r="U5" s="15" t="s">
        <v>78</v>
      </c>
      <c r="V5" s="15" t="s">
        <v>79</v>
      </c>
      <c r="W5" s="15">
        <v>46041</v>
      </c>
      <c r="X5" s="15" t="s">
        <v>79</v>
      </c>
      <c r="Y5" s="14">
        <v>85025</v>
      </c>
      <c r="Z5" s="14">
        <v>1</v>
      </c>
      <c r="AA5" s="14" t="s">
        <v>100</v>
      </c>
      <c r="AB5" s="14" t="s">
        <v>121</v>
      </c>
      <c r="AC5" s="15">
        <v>46058</v>
      </c>
      <c r="AD5" s="15">
        <v>46056</v>
      </c>
      <c r="AE5" s="15" t="s">
        <v>79</v>
      </c>
      <c r="AF5" s="14" t="s">
        <v>122</v>
      </c>
      <c r="AG5" s="15"/>
      <c r="AH5" s="15" t="s">
        <v>79</v>
      </c>
      <c r="AI5" s="14"/>
      <c r="AJ5" s="14"/>
      <c r="AK5" s="14"/>
      <c r="AL5" s="14" t="s">
        <v>123</v>
      </c>
      <c r="AM5" s="14" t="s">
        <v>124</v>
      </c>
      <c r="AN5" s="14" t="s">
        <v>84</v>
      </c>
      <c r="AO5" s="14" t="s">
        <v>85</v>
      </c>
      <c r="AP5" s="14"/>
      <c r="AQ5" s="16">
        <v>35.129999999999995</v>
      </c>
      <c r="AR5" s="16">
        <v>125</v>
      </c>
      <c r="AS5" s="16">
        <v>34.42</v>
      </c>
      <c r="AT5" s="16">
        <v>0</v>
      </c>
      <c r="AU5" s="16">
        <v>90.58</v>
      </c>
      <c r="AV5" s="16">
        <v>90.58</v>
      </c>
      <c r="AW5" s="16">
        <v>0</v>
      </c>
      <c r="AX5" s="16">
        <v>0</v>
      </c>
      <c r="AY5" s="16">
        <v>0</v>
      </c>
      <c r="AZ5" s="16">
        <v>34.42</v>
      </c>
      <c r="BA5" s="16">
        <v>0</v>
      </c>
      <c r="BB5" s="16">
        <v>34.42</v>
      </c>
      <c r="BC5" s="17">
        <v>15</v>
      </c>
      <c r="BD5" s="18">
        <v>0.27535999999999999</v>
      </c>
      <c r="BE5" s="16" t="s">
        <v>86</v>
      </c>
      <c r="BF5" s="16" t="s">
        <v>125</v>
      </c>
      <c r="BG5" s="16">
        <v>34.42</v>
      </c>
      <c r="BH5" s="16" t="s">
        <v>107</v>
      </c>
      <c r="BI5" s="16">
        <v>34.42</v>
      </c>
      <c r="BJ5" s="16" t="s">
        <v>87</v>
      </c>
      <c r="BK5" s="16">
        <v>34.42</v>
      </c>
      <c r="BL5" s="16" t="s">
        <v>88</v>
      </c>
      <c r="BM5" s="16">
        <v>34.42</v>
      </c>
      <c r="BN5" s="16" t="s">
        <v>125</v>
      </c>
    </row>
    <row r="6" spans="1:66" x14ac:dyDescent="0.3">
      <c r="A6" s="14">
        <v>1074572</v>
      </c>
      <c r="B6" s="14" t="b">
        <v>0</v>
      </c>
      <c r="C6" s="14" t="s">
        <v>126</v>
      </c>
      <c r="D6" s="14" t="s">
        <v>127</v>
      </c>
      <c r="E6" s="14" t="s">
        <v>117</v>
      </c>
      <c r="F6" s="14" t="s">
        <v>93</v>
      </c>
      <c r="G6" s="14" t="s">
        <v>94</v>
      </c>
      <c r="H6" s="14" t="s">
        <v>95</v>
      </c>
      <c r="I6" s="14" t="s">
        <v>72</v>
      </c>
      <c r="J6" s="14" t="s">
        <v>96</v>
      </c>
      <c r="K6" s="14" t="s">
        <v>74</v>
      </c>
      <c r="L6" s="14">
        <v>25889</v>
      </c>
      <c r="M6" s="14" t="s">
        <v>128</v>
      </c>
      <c r="N6" s="15">
        <v>36852</v>
      </c>
      <c r="O6" s="14" t="s">
        <v>129</v>
      </c>
      <c r="P6" s="14" t="s">
        <v>130</v>
      </c>
      <c r="Q6" s="15">
        <v>46035</v>
      </c>
      <c r="R6" s="15" t="s">
        <v>78</v>
      </c>
      <c r="S6" s="15">
        <v>46035</v>
      </c>
      <c r="T6" s="15">
        <v>46040</v>
      </c>
      <c r="U6" s="15" t="s">
        <v>78</v>
      </c>
      <c r="V6" s="15" t="s">
        <v>79</v>
      </c>
      <c r="W6" s="15">
        <v>46294</v>
      </c>
      <c r="X6" s="15" t="s">
        <v>131</v>
      </c>
      <c r="Y6" s="14">
        <v>85025</v>
      </c>
      <c r="Z6" s="14">
        <v>1</v>
      </c>
      <c r="AA6" s="14" t="s">
        <v>100</v>
      </c>
      <c r="AB6" s="14" t="s">
        <v>101</v>
      </c>
      <c r="AC6" s="15">
        <v>46309</v>
      </c>
      <c r="AD6" s="15">
        <v>46309</v>
      </c>
      <c r="AE6" s="15" t="s">
        <v>132</v>
      </c>
      <c r="AF6" s="14" t="s">
        <v>133</v>
      </c>
      <c r="AG6" s="15"/>
      <c r="AH6" s="15" t="s">
        <v>79</v>
      </c>
      <c r="AI6" s="14"/>
      <c r="AJ6" s="14"/>
      <c r="AK6" s="14"/>
      <c r="AL6" s="14" t="s">
        <v>105</v>
      </c>
      <c r="AM6" s="14" t="s">
        <v>106</v>
      </c>
      <c r="AN6" s="14" t="s">
        <v>84</v>
      </c>
      <c r="AO6" s="14" t="s">
        <v>85</v>
      </c>
      <c r="AP6" s="14"/>
      <c r="AQ6" s="16">
        <v>61.320000000000007</v>
      </c>
      <c r="AR6" s="16">
        <v>225</v>
      </c>
      <c r="AS6" s="16">
        <v>60.09</v>
      </c>
      <c r="AT6" s="16">
        <v>0</v>
      </c>
      <c r="AU6" s="16">
        <v>164.90999999999997</v>
      </c>
      <c r="AV6" s="16">
        <v>164.90999999999997</v>
      </c>
      <c r="AW6" s="16">
        <v>0</v>
      </c>
      <c r="AX6" s="16">
        <v>0</v>
      </c>
      <c r="AY6" s="16">
        <v>0</v>
      </c>
      <c r="AZ6" s="16">
        <v>60.09</v>
      </c>
      <c r="BA6" s="16">
        <v>0</v>
      </c>
      <c r="BB6" s="16">
        <v>60.09</v>
      </c>
      <c r="BC6" s="17">
        <v>15</v>
      </c>
      <c r="BD6" s="18">
        <v>0.26706666666666667</v>
      </c>
      <c r="BE6" s="16" t="s">
        <v>86</v>
      </c>
      <c r="BF6" s="16" t="s">
        <v>125</v>
      </c>
      <c r="BG6" s="16">
        <v>60.09</v>
      </c>
      <c r="BH6" s="16" t="s">
        <v>107</v>
      </c>
      <c r="BI6" s="16">
        <v>60.09</v>
      </c>
      <c r="BJ6" s="16" t="s">
        <v>87</v>
      </c>
      <c r="BK6" s="16">
        <v>60.09</v>
      </c>
      <c r="BL6" s="16" t="s">
        <v>88</v>
      </c>
      <c r="BM6" s="16">
        <v>60.09</v>
      </c>
      <c r="BN6" s="16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CFF58-DE8A-420A-9A0C-DD0BF1335A13}">
  <dimension ref="A1:BB6"/>
  <sheetViews>
    <sheetView workbookViewId="0">
      <selection sqref="A1:BB6"/>
    </sheetView>
  </sheetViews>
  <sheetFormatPr defaultRowHeight="14.4" x14ac:dyDescent="0.3"/>
  <sheetData>
    <row r="1" spans="1:54" x14ac:dyDescent="0.3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3" t="s">
        <v>17</v>
      </c>
      <c r="S1" s="2" t="s">
        <v>18</v>
      </c>
      <c r="T1" s="1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2" t="s">
        <v>24</v>
      </c>
      <c r="Z1" s="1" t="s">
        <v>25</v>
      </c>
      <c r="AA1" s="1" t="s">
        <v>26</v>
      </c>
      <c r="AB1" s="1" t="s">
        <v>27</v>
      </c>
      <c r="AC1" s="4" t="s">
        <v>28</v>
      </c>
      <c r="AD1" s="4" t="s">
        <v>29</v>
      </c>
      <c r="AE1" s="5" t="s">
        <v>30</v>
      </c>
      <c r="AF1" s="1" t="s">
        <v>31</v>
      </c>
      <c r="AG1" s="4" t="s">
        <v>32</v>
      </c>
      <c r="AH1" s="5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2" t="s">
        <v>39</v>
      </c>
      <c r="AO1" s="2" t="s">
        <v>40</v>
      </c>
      <c r="AP1" s="2" t="s">
        <v>41</v>
      </c>
      <c r="AQ1" s="6" t="s">
        <v>134</v>
      </c>
      <c r="AR1" s="6" t="s">
        <v>42</v>
      </c>
      <c r="AS1" s="7" t="s">
        <v>43</v>
      </c>
      <c r="AT1" s="7" t="s">
        <v>44</v>
      </c>
      <c r="AU1" s="7" t="s">
        <v>45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9" t="s">
        <v>55</v>
      </c>
    </row>
    <row r="2" spans="1:54" x14ac:dyDescent="0.3">
      <c r="A2" s="14">
        <v>1074453</v>
      </c>
      <c r="B2" s="14" t="b">
        <v>1</v>
      </c>
      <c r="C2" s="14" t="s">
        <v>135</v>
      </c>
      <c r="D2" s="14" t="s">
        <v>136</v>
      </c>
      <c r="E2" s="14" t="s">
        <v>68</v>
      </c>
      <c r="F2" s="14" t="s">
        <v>69</v>
      </c>
      <c r="G2" s="14" t="s">
        <v>70</v>
      </c>
      <c r="H2" s="14" t="s">
        <v>71</v>
      </c>
      <c r="I2" s="14" t="s">
        <v>72</v>
      </c>
      <c r="J2" s="14" t="s">
        <v>73</v>
      </c>
      <c r="K2" s="14" t="s">
        <v>74</v>
      </c>
      <c r="L2" s="14">
        <v>25885</v>
      </c>
      <c r="M2" s="14" t="s">
        <v>75</v>
      </c>
      <c r="N2" s="15">
        <v>45288</v>
      </c>
      <c r="O2" s="14" t="s">
        <v>76</v>
      </c>
      <c r="P2" s="14" t="s">
        <v>77</v>
      </c>
      <c r="Q2" s="15">
        <v>46030</v>
      </c>
      <c r="R2" s="15" t="s">
        <v>78</v>
      </c>
      <c r="S2" s="15">
        <v>46030</v>
      </c>
      <c r="T2" s="15">
        <v>46036</v>
      </c>
      <c r="U2" s="15" t="s">
        <v>78</v>
      </c>
      <c r="V2" s="15"/>
      <c r="W2" s="15">
        <v>46041</v>
      </c>
      <c r="X2" s="15"/>
      <c r="Y2" s="14">
        <v>87486</v>
      </c>
      <c r="Z2" s="14">
        <v>1</v>
      </c>
      <c r="AA2" s="14" t="s">
        <v>137</v>
      </c>
      <c r="AB2" s="14" t="s">
        <v>137</v>
      </c>
      <c r="AC2" s="15"/>
      <c r="AD2" s="15"/>
      <c r="AE2" s="14"/>
      <c r="AF2" s="14"/>
      <c r="AG2" s="15"/>
      <c r="AH2" s="14"/>
      <c r="AI2" s="14"/>
      <c r="AJ2" s="14"/>
      <c r="AK2" s="14"/>
      <c r="AL2" s="14" t="s">
        <v>82</v>
      </c>
      <c r="AM2" s="14" t="s">
        <v>83</v>
      </c>
      <c r="AN2" s="14" t="s">
        <v>84</v>
      </c>
      <c r="AO2" s="14" t="s">
        <v>85</v>
      </c>
      <c r="AP2" s="14"/>
      <c r="AQ2" s="16">
        <v>35.090000000000003</v>
      </c>
      <c r="AR2" s="16">
        <v>35.090000000000003</v>
      </c>
      <c r="AS2" s="16">
        <v>35.090000000000003</v>
      </c>
      <c r="AT2" s="16">
        <v>0</v>
      </c>
      <c r="AU2" s="16">
        <v>0</v>
      </c>
      <c r="AV2" s="16">
        <v>0</v>
      </c>
      <c r="AW2" s="16">
        <v>35.090000000000003</v>
      </c>
      <c r="AX2" s="16">
        <v>35.090000000000003</v>
      </c>
      <c r="AY2" s="16">
        <v>0</v>
      </c>
      <c r="AZ2" s="16">
        <v>35.090000000000003</v>
      </c>
      <c r="BA2" s="16">
        <v>0</v>
      </c>
      <c r="BB2" s="18">
        <v>0</v>
      </c>
    </row>
    <row r="3" spans="1:54" x14ac:dyDescent="0.3">
      <c r="A3" s="14">
        <v>1074453</v>
      </c>
      <c r="B3" s="14" t="b">
        <v>1</v>
      </c>
      <c r="C3" s="14" t="s">
        <v>138</v>
      </c>
      <c r="D3" s="14" t="s">
        <v>139</v>
      </c>
      <c r="E3" s="14" t="s">
        <v>68</v>
      </c>
      <c r="F3" s="14" t="s">
        <v>69</v>
      </c>
      <c r="G3" s="14" t="s">
        <v>70</v>
      </c>
      <c r="H3" s="14" t="s">
        <v>71</v>
      </c>
      <c r="I3" s="14" t="s">
        <v>72</v>
      </c>
      <c r="J3" s="14" t="s">
        <v>73</v>
      </c>
      <c r="K3" s="14" t="s">
        <v>74</v>
      </c>
      <c r="L3" s="14">
        <v>25885</v>
      </c>
      <c r="M3" s="14" t="s">
        <v>75</v>
      </c>
      <c r="N3" s="15">
        <v>45288</v>
      </c>
      <c r="O3" s="14" t="s">
        <v>76</v>
      </c>
      <c r="P3" s="14" t="s">
        <v>77</v>
      </c>
      <c r="Q3" s="15">
        <v>46030</v>
      </c>
      <c r="R3" s="15" t="s">
        <v>78</v>
      </c>
      <c r="S3" s="15">
        <v>46030</v>
      </c>
      <c r="T3" s="15">
        <v>46036</v>
      </c>
      <c r="U3" s="15" t="s">
        <v>78</v>
      </c>
      <c r="V3" s="15"/>
      <c r="W3" s="15">
        <v>46041</v>
      </c>
      <c r="X3" s="15"/>
      <c r="Y3" s="14">
        <v>87500</v>
      </c>
      <c r="Z3" s="14">
        <v>1</v>
      </c>
      <c r="AA3" s="14" t="s">
        <v>140</v>
      </c>
      <c r="AB3" s="14" t="s">
        <v>141</v>
      </c>
      <c r="AC3" s="15"/>
      <c r="AD3" s="15"/>
      <c r="AE3" s="14"/>
      <c r="AF3" s="14"/>
      <c r="AG3" s="15"/>
      <c r="AH3" s="14"/>
      <c r="AI3" s="14"/>
      <c r="AJ3" s="14"/>
      <c r="AK3" s="14"/>
      <c r="AL3" s="14" t="s">
        <v>82</v>
      </c>
      <c r="AM3" s="14" t="s">
        <v>83</v>
      </c>
      <c r="AN3" s="14" t="s">
        <v>84</v>
      </c>
      <c r="AO3" s="14" t="s">
        <v>85</v>
      </c>
      <c r="AP3" s="14"/>
      <c r="AQ3" s="16">
        <v>35.090000000000003</v>
      </c>
      <c r="AR3" s="16">
        <v>35.090000000000003</v>
      </c>
      <c r="AS3" s="16">
        <v>35.090000000000003</v>
      </c>
      <c r="AT3" s="16">
        <v>0</v>
      </c>
      <c r="AU3" s="16">
        <v>0</v>
      </c>
      <c r="AV3" s="16">
        <v>0</v>
      </c>
      <c r="AW3" s="16">
        <v>35.090000000000003</v>
      </c>
      <c r="AX3" s="16">
        <v>35.090000000000003</v>
      </c>
      <c r="AY3" s="16">
        <v>0</v>
      </c>
      <c r="AZ3" s="16">
        <v>35.090000000000003</v>
      </c>
      <c r="BA3" s="16">
        <v>0</v>
      </c>
      <c r="BB3" s="18">
        <v>0</v>
      </c>
    </row>
    <row r="4" spans="1:54" x14ac:dyDescent="0.3">
      <c r="A4" s="14">
        <v>1074453</v>
      </c>
      <c r="B4" s="14" t="b">
        <v>1</v>
      </c>
      <c r="C4" s="14" t="s">
        <v>142</v>
      </c>
      <c r="D4" s="14" t="s">
        <v>143</v>
      </c>
      <c r="E4" s="14" t="s">
        <v>68</v>
      </c>
      <c r="F4" s="14" t="s">
        <v>69</v>
      </c>
      <c r="G4" s="14" t="s">
        <v>70</v>
      </c>
      <c r="H4" s="14" t="s">
        <v>71</v>
      </c>
      <c r="I4" s="14" t="s">
        <v>72</v>
      </c>
      <c r="J4" s="14" t="s">
        <v>73</v>
      </c>
      <c r="K4" s="14" t="s">
        <v>74</v>
      </c>
      <c r="L4" s="14">
        <v>25885</v>
      </c>
      <c r="M4" s="14" t="s">
        <v>75</v>
      </c>
      <c r="N4" s="15">
        <v>45288</v>
      </c>
      <c r="O4" s="14" t="s">
        <v>76</v>
      </c>
      <c r="P4" s="14" t="s">
        <v>77</v>
      </c>
      <c r="Q4" s="15">
        <v>46030</v>
      </c>
      <c r="R4" s="15" t="s">
        <v>78</v>
      </c>
      <c r="S4" s="15">
        <v>46030</v>
      </c>
      <c r="T4" s="15">
        <v>46036</v>
      </c>
      <c r="U4" s="15" t="s">
        <v>78</v>
      </c>
      <c r="V4" s="15"/>
      <c r="W4" s="15">
        <v>46041</v>
      </c>
      <c r="X4" s="15"/>
      <c r="Y4" s="14">
        <v>87541</v>
      </c>
      <c r="Z4" s="14">
        <v>1</v>
      </c>
      <c r="AA4" s="14" t="s">
        <v>144</v>
      </c>
      <c r="AB4" s="14" t="s">
        <v>145</v>
      </c>
      <c r="AC4" s="15"/>
      <c r="AD4" s="15"/>
      <c r="AE4" s="14"/>
      <c r="AF4" s="14"/>
      <c r="AG4" s="15"/>
      <c r="AH4" s="14"/>
      <c r="AI4" s="14"/>
      <c r="AJ4" s="14"/>
      <c r="AK4" s="14"/>
      <c r="AL4" s="14" t="s">
        <v>82</v>
      </c>
      <c r="AM4" s="14" t="s">
        <v>83</v>
      </c>
      <c r="AN4" s="14" t="s">
        <v>84</v>
      </c>
      <c r="AO4" s="14" t="s">
        <v>85</v>
      </c>
      <c r="AP4" s="14"/>
      <c r="AQ4" s="16">
        <v>35.090000000000003</v>
      </c>
      <c r="AR4" s="16">
        <v>35.090000000000003</v>
      </c>
      <c r="AS4" s="16">
        <v>35.090000000000003</v>
      </c>
      <c r="AT4" s="16">
        <v>0</v>
      </c>
      <c r="AU4" s="16">
        <v>0</v>
      </c>
      <c r="AV4" s="16">
        <v>0</v>
      </c>
      <c r="AW4" s="16">
        <v>35.090000000000003</v>
      </c>
      <c r="AX4" s="16">
        <v>35.090000000000003</v>
      </c>
      <c r="AY4" s="16">
        <v>0</v>
      </c>
      <c r="AZ4" s="16">
        <v>35.090000000000003</v>
      </c>
      <c r="BA4" s="16">
        <v>0</v>
      </c>
      <c r="BB4" s="18">
        <v>0</v>
      </c>
    </row>
    <row r="5" spans="1:54" x14ac:dyDescent="0.3">
      <c r="A5" s="14">
        <v>1074453</v>
      </c>
      <c r="B5" s="14" t="b">
        <v>1</v>
      </c>
      <c r="C5" s="14" t="s">
        <v>146</v>
      </c>
      <c r="D5" s="14" t="s">
        <v>147</v>
      </c>
      <c r="E5" s="14" t="s">
        <v>68</v>
      </c>
      <c r="F5" s="14" t="s">
        <v>69</v>
      </c>
      <c r="G5" s="14" t="s">
        <v>70</v>
      </c>
      <c r="H5" s="14" t="s">
        <v>71</v>
      </c>
      <c r="I5" s="14" t="s">
        <v>72</v>
      </c>
      <c r="J5" s="14" t="s">
        <v>73</v>
      </c>
      <c r="K5" s="14" t="s">
        <v>74</v>
      </c>
      <c r="L5" s="14">
        <v>25885</v>
      </c>
      <c r="M5" s="14" t="s">
        <v>75</v>
      </c>
      <c r="N5" s="15">
        <v>45288</v>
      </c>
      <c r="O5" s="14" t="s">
        <v>76</v>
      </c>
      <c r="P5" s="14" t="s">
        <v>77</v>
      </c>
      <c r="Q5" s="15">
        <v>46030</v>
      </c>
      <c r="R5" s="15" t="s">
        <v>78</v>
      </c>
      <c r="S5" s="15">
        <v>46030</v>
      </c>
      <c r="T5" s="15">
        <v>46036</v>
      </c>
      <c r="U5" s="15" t="s">
        <v>78</v>
      </c>
      <c r="V5" s="15"/>
      <c r="W5" s="15">
        <v>46041</v>
      </c>
      <c r="X5" s="15"/>
      <c r="Y5" s="14">
        <v>87581</v>
      </c>
      <c r="Z5" s="14">
        <v>1</v>
      </c>
      <c r="AA5" s="14" t="s">
        <v>148</v>
      </c>
      <c r="AB5" s="14" t="s">
        <v>149</v>
      </c>
      <c r="AC5" s="15"/>
      <c r="AD5" s="15"/>
      <c r="AE5" s="14"/>
      <c r="AF5" s="14"/>
      <c r="AG5" s="15"/>
      <c r="AH5" s="14"/>
      <c r="AI5" s="14"/>
      <c r="AJ5" s="14"/>
      <c r="AK5" s="14"/>
      <c r="AL5" s="14" t="s">
        <v>82</v>
      </c>
      <c r="AM5" s="14" t="s">
        <v>83</v>
      </c>
      <c r="AN5" s="14" t="s">
        <v>84</v>
      </c>
      <c r="AO5" s="14" t="s">
        <v>85</v>
      </c>
      <c r="AP5" s="14"/>
      <c r="AQ5" s="16">
        <v>35.090000000000003</v>
      </c>
      <c r="AR5" s="16">
        <v>35.090000000000003</v>
      </c>
      <c r="AS5" s="16">
        <v>35.090000000000003</v>
      </c>
      <c r="AT5" s="16">
        <v>0</v>
      </c>
      <c r="AU5" s="16">
        <v>0</v>
      </c>
      <c r="AV5" s="16">
        <v>0</v>
      </c>
      <c r="AW5" s="16">
        <v>35.090000000000003</v>
      </c>
      <c r="AX5" s="16">
        <v>35.090000000000003</v>
      </c>
      <c r="AY5" s="16">
        <v>0</v>
      </c>
      <c r="AZ5" s="16">
        <v>35.090000000000003</v>
      </c>
      <c r="BA5" s="16">
        <v>0</v>
      </c>
      <c r="BB5" s="18">
        <v>0</v>
      </c>
    </row>
    <row r="6" spans="1:54" x14ac:dyDescent="0.3">
      <c r="A6" s="14">
        <v>1074453</v>
      </c>
      <c r="B6" s="14" t="b">
        <v>1</v>
      </c>
      <c r="C6" s="14" t="s">
        <v>150</v>
      </c>
      <c r="D6" s="14" t="s">
        <v>151</v>
      </c>
      <c r="E6" s="14" t="s">
        <v>68</v>
      </c>
      <c r="F6" s="14" t="s">
        <v>69</v>
      </c>
      <c r="G6" s="14" t="s">
        <v>70</v>
      </c>
      <c r="H6" s="14" t="s">
        <v>71</v>
      </c>
      <c r="I6" s="14" t="s">
        <v>72</v>
      </c>
      <c r="J6" s="14" t="s">
        <v>73</v>
      </c>
      <c r="K6" s="14" t="s">
        <v>74</v>
      </c>
      <c r="L6" s="14">
        <v>25885</v>
      </c>
      <c r="M6" s="14" t="s">
        <v>75</v>
      </c>
      <c r="N6" s="15">
        <v>45288</v>
      </c>
      <c r="O6" s="14" t="s">
        <v>76</v>
      </c>
      <c r="P6" s="14" t="s">
        <v>77</v>
      </c>
      <c r="Q6" s="15">
        <v>46030</v>
      </c>
      <c r="R6" s="15" t="s">
        <v>78</v>
      </c>
      <c r="S6" s="15">
        <v>46030</v>
      </c>
      <c r="T6" s="15">
        <v>46036</v>
      </c>
      <c r="U6" s="15" t="s">
        <v>78</v>
      </c>
      <c r="V6" s="15"/>
      <c r="W6" s="15">
        <v>46041</v>
      </c>
      <c r="X6" s="15"/>
      <c r="Y6" s="14">
        <v>87631</v>
      </c>
      <c r="Z6" s="14">
        <v>1</v>
      </c>
      <c r="AA6" s="14" t="s">
        <v>152</v>
      </c>
      <c r="AB6" s="14" t="s">
        <v>153</v>
      </c>
      <c r="AC6" s="15"/>
      <c r="AD6" s="15"/>
      <c r="AE6" s="14"/>
      <c r="AF6" s="14"/>
      <c r="AG6" s="15"/>
      <c r="AH6" s="14"/>
      <c r="AI6" s="14"/>
      <c r="AJ6" s="14"/>
      <c r="AK6" s="14"/>
      <c r="AL6" s="14" t="s">
        <v>82</v>
      </c>
      <c r="AM6" s="14" t="s">
        <v>83</v>
      </c>
      <c r="AN6" s="14" t="s">
        <v>84</v>
      </c>
      <c r="AO6" s="14" t="s">
        <v>85</v>
      </c>
      <c r="AP6" s="14"/>
      <c r="AQ6" s="16">
        <v>142.63</v>
      </c>
      <c r="AR6" s="16">
        <v>142.63</v>
      </c>
      <c r="AS6" s="16">
        <v>142.63</v>
      </c>
      <c r="AT6" s="16">
        <v>0</v>
      </c>
      <c r="AU6" s="16">
        <v>0</v>
      </c>
      <c r="AV6" s="16">
        <v>0</v>
      </c>
      <c r="AW6" s="16">
        <v>142.63</v>
      </c>
      <c r="AX6" s="16">
        <v>142.63</v>
      </c>
      <c r="AY6" s="16">
        <v>0</v>
      </c>
      <c r="AZ6" s="16">
        <v>142.63</v>
      </c>
      <c r="BA6" s="16">
        <v>0</v>
      </c>
      <c r="BB6" s="1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5CF51-E7ED-4867-9B32-A69E2C322E8C}">
  <dimension ref="A1:AN6"/>
  <sheetViews>
    <sheetView workbookViewId="0">
      <selection sqref="A1:AN6"/>
    </sheetView>
  </sheetViews>
  <sheetFormatPr defaultRowHeight="14.4" x14ac:dyDescent="0.3"/>
  <sheetData>
    <row r="1" spans="1:40" x14ac:dyDescent="0.3">
      <c r="A1" s="2" t="s">
        <v>154</v>
      </c>
      <c r="B1" s="2" t="s">
        <v>155</v>
      </c>
      <c r="C1" s="2" t="s">
        <v>156</v>
      </c>
      <c r="D1" s="3" t="s">
        <v>157</v>
      </c>
      <c r="E1" s="2" t="s">
        <v>158</v>
      </c>
      <c r="F1" s="2" t="s">
        <v>159</v>
      </c>
      <c r="G1" s="2" t="s">
        <v>160</v>
      </c>
      <c r="H1" s="2" t="s">
        <v>161</v>
      </c>
      <c r="I1" s="2" t="s">
        <v>13</v>
      </c>
      <c r="J1" s="2" t="s">
        <v>162</v>
      </c>
      <c r="K1" s="2" t="s">
        <v>163</v>
      </c>
      <c r="L1" s="2" t="s">
        <v>164</v>
      </c>
      <c r="M1" s="2" t="s">
        <v>165</v>
      </c>
      <c r="N1" s="19" t="s">
        <v>166</v>
      </c>
      <c r="O1" s="2" t="s">
        <v>167</v>
      </c>
      <c r="P1" s="20" t="s">
        <v>168</v>
      </c>
      <c r="Q1" s="20" t="s">
        <v>169</v>
      </c>
      <c r="R1" s="2" t="s">
        <v>170</v>
      </c>
      <c r="S1" s="2" t="s">
        <v>171</v>
      </c>
      <c r="T1" s="2" t="s">
        <v>172</v>
      </c>
      <c r="U1" s="20" t="s">
        <v>173</v>
      </c>
      <c r="V1" s="20" t="s">
        <v>1</v>
      </c>
      <c r="W1" s="20" t="s">
        <v>174</v>
      </c>
      <c r="X1" s="20" t="s">
        <v>175</v>
      </c>
      <c r="Y1" s="20" t="s">
        <v>176</v>
      </c>
      <c r="Z1" s="21" t="s">
        <v>177</v>
      </c>
      <c r="AA1" s="22" t="s">
        <v>178</v>
      </c>
      <c r="AB1" s="21" t="s">
        <v>179</v>
      </c>
      <c r="AC1" s="22" t="s">
        <v>180</v>
      </c>
      <c r="AD1" s="22" t="s">
        <v>181</v>
      </c>
      <c r="AE1" s="21" t="s">
        <v>182</v>
      </c>
      <c r="AF1" s="20" t="s">
        <v>183</v>
      </c>
      <c r="AG1" s="20" t="s">
        <v>184</v>
      </c>
      <c r="AH1" s="20" t="s">
        <v>185</v>
      </c>
      <c r="AI1" s="21" t="s">
        <v>186</v>
      </c>
      <c r="AJ1" s="21" t="s">
        <v>187</v>
      </c>
      <c r="AK1" s="21" t="s">
        <v>188</v>
      </c>
      <c r="AL1" s="21" t="s">
        <v>189</v>
      </c>
      <c r="AM1" s="23" t="s">
        <v>190</v>
      </c>
      <c r="AN1" s="23" t="s">
        <v>191</v>
      </c>
    </row>
    <row r="2" spans="1:40" x14ac:dyDescent="0.3">
      <c r="A2" s="14">
        <v>116064</v>
      </c>
      <c r="B2" s="14" t="s">
        <v>192</v>
      </c>
      <c r="C2" s="14" t="s">
        <v>193</v>
      </c>
      <c r="D2" s="14" t="s">
        <v>194</v>
      </c>
      <c r="E2" s="14" t="s">
        <v>195</v>
      </c>
      <c r="F2" s="14" t="s">
        <v>196</v>
      </c>
      <c r="G2" s="14" t="s">
        <v>197</v>
      </c>
      <c r="H2" s="14">
        <v>77077</v>
      </c>
      <c r="I2" s="15">
        <v>30106</v>
      </c>
      <c r="J2" s="14" t="s">
        <v>198</v>
      </c>
      <c r="K2" s="14" t="s">
        <v>199</v>
      </c>
      <c r="L2" s="14">
        <v>68567</v>
      </c>
      <c r="M2" s="14" t="s">
        <v>200</v>
      </c>
      <c r="N2" s="15">
        <v>46029.641724537039</v>
      </c>
      <c r="O2" s="14"/>
      <c r="P2" s="14"/>
      <c r="Q2" s="14"/>
      <c r="R2" s="14" t="s">
        <v>201</v>
      </c>
      <c r="S2" s="14">
        <v>1134269467</v>
      </c>
      <c r="T2" s="14" t="s">
        <v>202</v>
      </c>
      <c r="U2" s="14" t="s">
        <v>203</v>
      </c>
      <c r="V2" s="14" t="b">
        <f t="shared" ref="V2:V6" si="0">U2=U3</f>
        <v>0</v>
      </c>
      <c r="W2" s="14" t="s">
        <v>204</v>
      </c>
      <c r="X2" s="14" t="s">
        <v>94</v>
      </c>
      <c r="Y2" s="14" t="s">
        <v>205</v>
      </c>
      <c r="Z2" s="14" t="s">
        <v>94</v>
      </c>
      <c r="AA2" s="15">
        <v>46028</v>
      </c>
      <c r="AB2" s="15" t="s">
        <v>79</v>
      </c>
      <c r="AC2" s="15"/>
      <c r="AD2" s="15"/>
      <c r="AE2" s="14" t="s">
        <v>206</v>
      </c>
      <c r="AF2" s="14" t="s">
        <v>207</v>
      </c>
      <c r="AG2" s="14" t="s">
        <v>208</v>
      </c>
      <c r="AH2" s="14" t="s">
        <v>209</v>
      </c>
      <c r="AI2" s="14" t="s">
        <v>209</v>
      </c>
      <c r="AJ2" s="14" t="s">
        <v>210</v>
      </c>
      <c r="AK2" s="14" t="s">
        <v>211</v>
      </c>
      <c r="AL2" s="15"/>
      <c r="AM2" s="14"/>
      <c r="AN2" s="14"/>
    </row>
    <row r="3" spans="1:40" x14ac:dyDescent="0.3">
      <c r="A3" s="14">
        <v>116065</v>
      </c>
      <c r="B3" s="14" t="s">
        <v>212</v>
      </c>
      <c r="C3" s="14" t="s">
        <v>213</v>
      </c>
      <c r="D3" s="14" t="s">
        <v>214</v>
      </c>
      <c r="E3" s="14" t="s">
        <v>195</v>
      </c>
      <c r="F3" s="14" t="s">
        <v>196</v>
      </c>
      <c r="G3" s="14" t="s">
        <v>215</v>
      </c>
      <c r="H3" s="14">
        <v>77494</v>
      </c>
      <c r="I3" s="15">
        <v>26829</v>
      </c>
      <c r="J3" s="14" t="s">
        <v>216</v>
      </c>
      <c r="K3" s="14" t="s">
        <v>217</v>
      </c>
      <c r="L3" s="14">
        <v>41549</v>
      </c>
      <c r="M3" s="14" t="s">
        <v>200</v>
      </c>
      <c r="N3" s="15">
        <v>46029.64329861111</v>
      </c>
      <c r="O3" s="14"/>
      <c r="P3" s="14"/>
      <c r="Q3" s="14"/>
      <c r="R3" s="14" t="s">
        <v>201</v>
      </c>
      <c r="S3" s="14">
        <v>1134269467</v>
      </c>
      <c r="T3" s="14" t="s">
        <v>202</v>
      </c>
      <c r="U3" s="14" t="s">
        <v>218</v>
      </c>
      <c r="V3" s="14" t="b">
        <f t="shared" si="0"/>
        <v>0</v>
      </c>
      <c r="W3" s="14" t="s">
        <v>204</v>
      </c>
      <c r="X3" s="14" t="s">
        <v>94</v>
      </c>
      <c r="Y3" s="14" t="s">
        <v>205</v>
      </c>
      <c r="Z3" s="14" t="s">
        <v>94</v>
      </c>
      <c r="AA3" s="15">
        <v>46028</v>
      </c>
      <c r="AB3" s="15" t="s">
        <v>79</v>
      </c>
      <c r="AC3" s="15"/>
      <c r="AD3" s="15"/>
      <c r="AE3" s="14" t="s">
        <v>206</v>
      </c>
      <c r="AF3" s="14" t="s">
        <v>207</v>
      </c>
      <c r="AG3" s="14" t="s">
        <v>208</v>
      </c>
      <c r="AH3" s="14" t="s">
        <v>209</v>
      </c>
      <c r="AI3" s="14" t="s">
        <v>209</v>
      </c>
      <c r="AJ3" s="14" t="s">
        <v>210</v>
      </c>
      <c r="AK3" s="14" t="s">
        <v>211</v>
      </c>
      <c r="AL3" s="15"/>
      <c r="AM3" s="14"/>
      <c r="AN3" s="14"/>
    </row>
    <row r="4" spans="1:40" x14ac:dyDescent="0.3">
      <c r="A4" s="14">
        <v>116066</v>
      </c>
      <c r="B4" s="14" t="s">
        <v>219</v>
      </c>
      <c r="C4" s="14" t="s">
        <v>220</v>
      </c>
      <c r="D4" s="14" t="s">
        <v>221</v>
      </c>
      <c r="E4" s="14" t="s">
        <v>195</v>
      </c>
      <c r="F4" s="14" t="s">
        <v>196</v>
      </c>
      <c r="G4" s="14" t="s">
        <v>222</v>
      </c>
      <c r="H4" s="14">
        <v>77077</v>
      </c>
      <c r="I4" s="15">
        <v>34643</v>
      </c>
      <c r="J4" s="14" t="s">
        <v>198</v>
      </c>
      <c r="K4" s="14" t="s">
        <v>223</v>
      </c>
      <c r="L4" s="14">
        <v>35280</v>
      </c>
      <c r="M4" s="14" t="s">
        <v>200</v>
      </c>
      <c r="N4" s="15">
        <v>46029.644166666665</v>
      </c>
      <c r="O4" s="14"/>
      <c r="P4" s="14"/>
      <c r="Q4" s="14"/>
      <c r="R4" s="14" t="s">
        <v>201</v>
      </c>
      <c r="S4" s="14">
        <v>1134269467</v>
      </c>
      <c r="T4" s="14" t="s">
        <v>202</v>
      </c>
      <c r="U4" s="14" t="s">
        <v>224</v>
      </c>
      <c r="V4" s="14" t="b">
        <f t="shared" si="0"/>
        <v>0</v>
      </c>
      <c r="W4" s="14" t="s">
        <v>204</v>
      </c>
      <c r="X4" s="14" t="s">
        <v>94</v>
      </c>
      <c r="Y4" s="14" t="s">
        <v>205</v>
      </c>
      <c r="Z4" s="14" t="s">
        <v>94</v>
      </c>
      <c r="AA4" s="15">
        <v>46028</v>
      </c>
      <c r="AB4" s="15" t="s">
        <v>79</v>
      </c>
      <c r="AC4" s="15"/>
      <c r="AD4" s="15"/>
      <c r="AE4" s="14" t="s">
        <v>206</v>
      </c>
      <c r="AF4" s="14" t="s">
        <v>207</v>
      </c>
      <c r="AG4" s="14" t="s">
        <v>208</v>
      </c>
      <c r="AH4" s="14" t="s">
        <v>209</v>
      </c>
      <c r="AI4" s="14" t="s">
        <v>209</v>
      </c>
      <c r="AJ4" s="14" t="s">
        <v>210</v>
      </c>
      <c r="AK4" s="14" t="s">
        <v>211</v>
      </c>
      <c r="AL4" s="15"/>
      <c r="AM4" s="14"/>
      <c r="AN4" s="14"/>
    </row>
    <row r="5" spans="1:40" x14ac:dyDescent="0.3">
      <c r="A5" s="14">
        <v>116067</v>
      </c>
      <c r="B5" s="14" t="s">
        <v>225</v>
      </c>
      <c r="C5" s="14" t="s">
        <v>226</v>
      </c>
      <c r="D5" s="14" t="s">
        <v>227</v>
      </c>
      <c r="E5" s="14" t="s">
        <v>195</v>
      </c>
      <c r="F5" s="14" t="s">
        <v>196</v>
      </c>
      <c r="G5" s="14" t="s">
        <v>197</v>
      </c>
      <c r="H5" s="14">
        <v>77077</v>
      </c>
      <c r="I5" s="15">
        <v>34681</v>
      </c>
      <c r="J5" s="14" t="s">
        <v>198</v>
      </c>
      <c r="K5" s="14"/>
      <c r="L5" s="14">
        <v>90390</v>
      </c>
      <c r="M5" s="14" t="s">
        <v>200</v>
      </c>
      <c r="N5" s="15">
        <v>46029.645138888889</v>
      </c>
      <c r="O5" s="14"/>
      <c r="P5" s="14"/>
      <c r="Q5" s="14"/>
      <c r="R5" s="14" t="s">
        <v>201</v>
      </c>
      <c r="S5" s="14">
        <v>1134269467</v>
      </c>
      <c r="T5" s="14" t="s">
        <v>202</v>
      </c>
      <c r="U5" s="14" t="s">
        <v>228</v>
      </c>
      <c r="V5" s="14" t="b">
        <f t="shared" si="0"/>
        <v>0</v>
      </c>
      <c r="W5" s="14" t="s">
        <v>204</v>
      </c>
      <c r="X5" s="14" t="s">
        <v>94</v>
      </c>
      <c r="Y5" s="14" t="s">
        <v>205</v>
      </c>
      <c r="Z5" s="14" t="s">
        <v>94</v>
      </c>
      <c r="AA5" s="15">
        <v>46028</v>
      </c>
      <c r="AB5" s="15" t="s">
        <v>79</v>
      </c>
      <c r="AC5" s="15"/>
      <c r="AD5" s="15"/>
      <c r="AE5" s="14" t="s">
        <v>206</v>
      </c>
      <c r="AF5" s="14" t="s">
        <v>207</v>
      </c>
      <c r="AG5" s="14" t="s">
        <v>208</v>
      </c>
      <c r="AH5" s="14" t="s">
        <v>209</v>
      </c>
      <c r="AI5" s="14" t="s">
        <v>209</v>
      </c>
      <c r="AJ5" s="14" t="s">
        <v>210</v>
      </c>
      <c r="AK5" s="14" t="s">
        <v>211</v>
      </c>
      <c r="AL5" s="15"/>
      <c r="AM5" s="14"/>
      <c r="AN5" s="14"/>
    </row>
    <row r="6" spans="1:40" x14ac:dyDescent="0.3">
      <c r="A6" s="14">
        <v>117107</v>
      </c>
      <c r="B6" s="14" t="s">
        <v>229</v>
      </c>
      <c r="C6" s="14" t="s">
        <v>230</v>
      </c>
      <c r="D6" s="14" t="s">
        <v>231</v>
      </c>
      <c r="E6" s="14" t="s">
        <v>195</v>
      </c>
      <c r="F6" s="14" t="s">
        <v>196</v>
      </c>
      <c r="G6" s="14" t="s">
        <v>232</v>
      </c>
      <c r="H6" s="14">
        <v>77042</v>
      </c>
      <c r="I6" s="15">
        <v>35101</v>
      </c>
      <c r="J6" s="14" t="s">
        <v>198</v>
      </c>
      <c r="K6" s="14"/>
      <c r="L6" s="14">
        <v>92708</v>
      </c>
      <c r="M6" s="14" t="s">
        <v>200</v>
      </c>
      <c r="N6" s="15">
        <v>46038.549780092595</v>
      </c>
      <c r="O6" s="14" t="s">
        <v>233</v>
      </c>
      <c r="P6" s="14" t="s">
        <v>234</v>
      </c>
      <c r="Q6" s="14" t="str">
        <f>"516614737"</f>
        <v>516614737</v>
      </c>
      <c r="R6" s="14" t="s">
        <v>235</v>
      </c>
      <c r="S6" s="14">
        <v>1891315479</v>
      </c>
      <c r="T6" s="14" t="s">
        <v>236</v>
      </c>
      <c r="U6" s="14" t="s">
        <v>237</v>
      </c>
      <c r="V6" s="14" t="b">
        <f t="shared" si="0"/>
        <v>0</v>
      </c>
      <c r="W6" s="14" t="s">
        <v>204</v>
      </c>
      <c r="X6" s="14" t="s">
        <v>94</v>
      </c>
      <c r="Y6" s="14" t="s">
        <v>205</v>
      </c>
      <c r="Z6" s="14" t="s">
        <v>94</v>
      </c>
      <c r="AA6" s="15">
        <v>46036</v>
      </c>
      <c r="AB6" s="15" t="s">
        <v>79</v>
      </c>
      <c r="AC6" s="15">
        <v>46038</v>
      </c>
      <c r="AD6" s="15">
        <v>46038</v>
      </c>
      <c r="AE6" s="24" t="s">
        <v>238</v>
      </c>
      <c r="AF6" s="14" t="s">
        <v>95</v>
      </c>
      <c r="AG6" s="14" t="s">
        <v>239</v>
      </c>
      <c r="AH6" s="14" t="s">
        <v>240</v>
      </c>
      <c r="AI6" s="24" t="s">
        <v>241</v>
      </c>
      <c r="AJ6" s="14" t="s">
        <v>86</v>
      </c>
      <c r="AK6" s="14" t="s">
        <v>211</v>
      </c>
      <c r="AL6" s="15">
        <v>46071</v>
      </c>
      <c r="AM6" s="14">
        <v>2</v>
      </c>
      <c r="AN6" s="14">
        <v>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893C3BE268CA44B6AD3A118A79FAE5" ma:contentTypeVersion="22" ma:contentTypeDescription="Create a new document." ma:contentTypeScope="" ma:versionID="067c28020608bf9d08c3d01456d4baeb">
  <xsd:schema xmlns:xsd="http://www.w3.org/2001/XMLSchema" xmlns:xs="http://www.w3.org/2001/XMLSchema" xmlns:p="http://schemas.microsoft.com/office/2006/metadata/properties" xmlns:ns1="http://schemas.microsoft.com/sharepoint/v3" xmlns:ns2="29647c09-166d-45f0-9876-cca5ecd40e72" xmlns:ns3="1bbcfd5a-faa0-4eef-9401-45f7256f69f1" targetNamespace="http://schemas.microsoft.com/office/2006/metadata/properties" ma:root="true" ma:fieldsID="6e8195766451f614fa091518ca715f1f" ns1:_="" ns2:_="" ns3:_="">
    <xsd:import namespace="http://schemas.microsoft.com/sharepoint/v3"/>
    <xsd:import namespace="29647c09-166d-45f0-9876-cca5ecd40e72"/>
    <xsd:import namespace="1bbcfd5a-faa0-4eef-9401-45f7256f69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  <xsd:element ref="ns2:MediaServiceLocation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647c09-166d-45f0-9876-cca5ecd40e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4d508ed-184a-4c22-aa09-c6778b3394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  <xsd:element name="_ApprovalAssignedTo" ma:index="26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7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8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9" nillable="true" ma:displayName="Approval status" ma:internalName="_Approval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bcfd5a-faa0-4eef-9401-45f7256f69f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e1d81b71-aea9-4f75-91ab-dd65eb73e3b7}" ma:internalName="TaxCatchAll" ma:showField="CatchAllData" ma:web="1bbcfd5a-faa0-4eef-9401-45f7256f69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29647c09-166d-45f0-9876-cca5ecd40e72">
      <Terms xmlns="http://schemas.microsoft.com/office/infopath/2007/PartnerControls"/>
    </lcf76f155ced4ddcb4097134ff3c332f>
    <_ip_UnifiedCompliancePolicyProperties xmlns="http://schemas.microsoft.com/sharepoint/v3" xsi:nil="true"/>
    <TaxCatchAll xmlns="1bbcfd5a-faa0-4eef-9401-45f7256f69f1" xsi:nil="true"/>
    <_ApprovalAssignedTo xmlns="29647c09-166d-45f0-9876-cca5ecd40e72">
      <UserInfo>
        <DisplayName/>
        <AccountId xsi:nil="true"/>
        <AccountType/>
      </UserInfo>
    </_ApprovalAssignedTo>
    <_ApprovalRespondedBy xmlns="29647c09-166d-45f0-9876-cca5ecd40e72">
      <UserInfo>
        <DisplayName/>
        <AccountId xsi:nil="true"/>
        <AccountType/>
      </UserInfo>
    </_ApprovalRespondedBy>
    <_ApprovalStatus xmlns="29647c09-166d-45f0-9876-cca5ecd40e72">0</_ApprovalStatus>
  </documentManagement>
</p:properties>
</file>

<file path=customXml/itemProps1.xml><?xml version="1.0" encoding="utf-8"?>
<ds:datastoreItem xmlns:ds="http://schemas.openxmlformats.org/officeDocument/2006/customXml" ds:itemID="{49457DE8-A0B2-49A1-94CB-ADB3796B6031}"/>
</file>

<file path=customXml/itemProps2.xml><?xml version="1.0" encoding="utf-8"?>
<ds:datastoreItem xmlns:ds="http://schemas.openxmlformats.org/officeDocument/2006/customXml" ds:itemID="{D39C9231-4D78-4005-8930-AFF094C92AFB}"/>
</file>

<file path=customXml/itemProps3.xml><?xml version="1.0" encoding="utf-8"?>
<ds:datastoreItem xmlns:ds="http://schemas.openxmlformats.org/officeDocument/2006/customXml" ds:itemID="{5BFE908E-C693-489C-83A8-7FC00C07B4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Claim Level</vt:lpstr>
      <vt:lpstr>Line Level</vt:lpstr>
      <vt:lpstr>LIMS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Jainudeen</dc:creator>
  <cp:lastModifiedBy>Abdul Jainudeen</cp:lastModifiedBy>
  <dcterms:created xsi:type="dcterms:W3CDTF">2026-10-22T06:46:39Z</dcterms:created>
  <dcterms:modified xsi:type="dcterms:W3CDTF">2026-10-22T06:49:00Z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0x0101007A893C3BE268CA44B6AD3A118A79FAE5</vt:lpwstr>
  </property>
</Properties>
</file>