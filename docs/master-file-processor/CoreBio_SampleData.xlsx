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JameelJainudeen\Downloads\test\"/>
    </mc:Choice>
  </mc:AlternateContent>
  <xr:revisionPtr revIDLastSave="0" documentId="8_{8F8DB70E-D328-474F-AB7F-471AF12A1011}" xr6:coauthVersionLast="47" xr6:coauthVersionMax="47" xr10:uidLastSave="{00000000-0000-0000-0000-000000000000}"/>
  <bookViews>
    <workbookView xWindow="-108" yWindow="-108" windowWidth="23256" windowHeight="12456" activeTab="2" xr2:uid="{74116C1D-51A3-4C2D-BF04-3FA34BF8F7A8}"/>
  </bookViews>
  <sheets>
    <sheet name="Line Level File" sheetId="1" r:id="rId1"/>
    <sheet name="LIMS Data" sheetId="3" r:id="rId2"/>
    <sheet name="Claim Level File" sheetId="2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P5" i="3" l="1"/>
  <c r="Y5" i="3"/>
  <c r="AP4" i="3"/>
  <c r="Y4" i="3"/>
  <c r="AP3" i="3"/>
  <c r="Y3" i="3"/>
  <c r="AP2" i="3"/>
  <c r="Y2" i="3"/>
  <c r="BK7" i="2"/>
  <c r="BI7" i="2"/>
  <c r="BG7" i="2"/>
  <c r="BE7" i="2"/>
  <c r="BK6" i="2"/>
  <c r="BI6" i="2"/>
  <c r="BG6" i="2"/>
  <c r="BE6" i="2"/>
  <c r="BK5" i="2"/>
  <c r="BI5" i="2"/>
  <c r="BG5" i="2"/>
  <c r="BE5" i="2"/>
  <c r="BK4" i="2"/>
  <c r="BI4" i="2"/>
  <c r="BG4" i="2"/>
  <c r="BE4" i="2"/>
  <c r="BK3" i="2"/>
  <c r="BI3" i="2"/>
  <c r="BG3" i="2"/>
  <c r="BE3" i="2"/>
  <c r="BK2" i="2"/>
  <c r="BI2" i="2"/>
  <c r="BG2" i="2"/>
  <c r="BE2" i="2"/>
</calcChain>
</file>

<file path=xl/sharedStrings.xml><?xml version="1.0" encoding="utf-8"?>
<sst xmlns="http://schemas.openxmlformats.org/spreadsheetml/2006/main" count="516" uniqueCount="251">
  <si>
    <t>Charge Claim ID</t>
  </si>
  <si>
    <t>T/F</t>
  </si>
  <si>
    <t>Claim Reference #</t>
  </si>
  <si>
    <t>Panel Name</t>
  </si>
  <si>
    <t>LIS Panel</t>
  </si>
  <si>
    <t>Charge From Date</t>
  </si>
  <si>
    <t>Charge To Date</t>
  </si>
  <si>
    <t>Aging DOS</t>
  </si>
  <si>
    <t>Charge Entered Date</t>
  </si>
  <si>
    <t>Charge First Bill Date</t>
  </si>
  <si>
    <t>Billed Week</t>
  </si>
  <si>
    <t>Charge Last Bill Date</t>
  </si>
  <si>
    <t>Claim Ordering Provider ID</t>
  </si>
  <si>
    <t>Facility Name</t>
  </si>
  <si>
    <t>LIS Facility Name</t>
  </si>
  <si>
    <t>Referring Full Name</t>
  </si>
  <si>
    <t>Charge Panel Name</t>
  </si>
  <si>
    <t>Charge Patient ID</t>
  </si>
  <si>
    <t>Patient Full Name</t>
  </si>
  <si>
    <t>Patient Birthday</t>
  </si>
  <si>
    <t>Claim Primary Payer Name</t>
  </si>
  <si>
    <t>Claim Primary Payer Type</t>
  </si>
  <si>
    <t>Claim Primary Member ID</t>
  </si>
  <si>
    <t>Charge CPT Description</t>
  </si>
  <si>
    <t>Charge CPT Code</t>
  </si>
  <si>
    <t>Charge Units</t>
  </si>
  <si>
    <t>Charge Modifier List</t>
  </si>
  <si>
    <t>CPT X MOD X UNITS</t>
  </si>
  <si>
    <t>Line Level Combination</t>
  </si>
  <si>
    <t>Claim Level Combination</t>
  </si>
  <si>
    <t>Charge Diagnosis Pointer List</t>
  </si>
  <si>
    <t>Claim ICD List</t>
  </si>
  <si>
    <t>Claim Level ICD</t>
  </si>
  <si>
    <t>Deposit Date</t>
  </si>
  <si>
    <t>DOD Week</t>
  </si>
  <si>
    <t>Denial Date</t>
  </si>
  <si>
    <t>Original Denial Code</t>
  </si>
  <si>
    <t>Denial Code</t>
  </si>
  <si>
    <t>Line Level Denial Code</t>
  </si>
  <si>
    <t>Claim Level Denial Code</t>
  </si>
  <si>
    <t>Charge Amount</t>
  </si>
  <si>
    <t>Charge Insurance Payments</t>
  </si>
  <si>
    <t>Charge Patient Payments</t>
  </si>
  <si>
    <t>Charge Total Adjustments</t>
  </si>
  <si>
    <t>Total Balance</t>
  </si>
  <si>
    <t>Total Ins Balance</t>
  </si>
  <si>
    <t xml:space="preserve"> Pat Balance</t>
  </si>
  <si>
    <t>Charge Balance Due Ins</t>
  </si>
  <si>
    <t>Charge Balance At Collections</t>
  </si>
  <si>
    <t>Charge Balance Due Other</t>
  </si>
  <si>
    <t>Charge Insurance Adjustments</t>
  </si>
  <si>
    <t>Charge Patient Adjustments</t>
  </si>
  <si>
    <t>Charge Total Payments</t>
  </si>
  <si>
    <t>Claim Deleted?</t>
  </si>
  <si>
    <t>Payment %</t>
  </si>
  <si>
    <t>Fully Paid #</t>
  </si>
  <si>
    <t>Fully Paid $</t>
  </si>
  <si>
    <t>Adjucticated #</t>
  </si>
  <si>
    <t>Adjucticated $</t>
  </si>
  <si>
    <t>30 Bucket #</t>
  </si>
  <si>
    <t>30 Bucket $</t>
  </si>
  <si>
    <t>60 Bucket #</t>
  </si>
  <si>
    <t>60 Bucket $</t>
  </si>
  <si>
    <t>Claim Status</t>
  </si>
  <si>
    <t>Bill Type</t>
  </si>
  <si>
    <t>RCBL685558</t>
  </si>
  <si>
    <t>Blood</t>
  </si>
  <si>
    <t>Complete Blood Count (CBC)</t>
  </si>
  <si>
    <t>120+</t>
  </si>
  <si>
    <t>CENTER FOR MOLECULAR CANCER DIAGNOSTICS INC</t>
  </si>
  <si>
    <t>Laurels of Massillon</t>
  </si>
  <si>
    <t>FRANZ, JAMES</t>
  </si>
  <si>
    <t>WHALEN, BARBARA</t>
  </si>
  <si>
    <t>UNITED HEALTHCARE (MEDICARE)</t>
  </si>
  <si>
    <t>Health Maintenance Organization (HMO) Medicare Risk</t>
  </si>
  <si>
    <t>Complete cbc w/auto diff wbc</t>
  </si>
  <si>
    <t>85025*1</t>
  </si>
  <si>
    <t>A</t>
  </si>
  <si>
    <t>R79.9</t>
  </si>
  <si>
    <t/>
  </si>
  <si>
    <t>No</t>
  </si>
  <si>
    <t>Fully Paid</t>
  </si>
  <si>
    <t>Adjucticated</t>
  </si>
  <si>
    <t>30 Bucket</t>
  </si>
  <si>
    <t>60 Bucket</t>
  </si>
  <si>
    <t xml:space="preserve">Fully Paid </t>
  </si>
  <si>
    <t xml:space="preserve">Billed </t>
  </si>
  <si>
    <t>RCBL685559</t>
  </si>
  <si>
    <t>Comprehensive Metabolic Panel + GFR</t>
  </si>
  <si>
    <t>Comprehen metabolic panel</t>
  </si>
  <si>
    <t>80053*1</t>
  </si>
  <si>
    <t>I10</t>
  </si>
  <si>
    <t>RCBL685560</t>
  </si>
  <si>
    <t>ESR SED. RATE</t>
  </si>
  <si>
    <t>Rbc sed rate nonautomated</t>
  </si>
  <si>
    <t>85651*1</t>
  </si>
  <si>
    <t>RCBL687439</t>
  </si>
  <si>
    <t>Complete Blood Count with Differential (CBC w Diff)</t>
  </si>
  <si>
    <t>J. Moorehous</t>
  </si>
  <si>
    <t>KHANDELWAL, SHOBHA</t>
  </si>
  <si>
    <t>BLAZEK, BETTY</t>
  </si>
  <si>
    <t>AETNA (MEDICARE)</t>
  </si>
  <si>
    <t>RCBL687135</t>
  </si>
  <si>
    <t>Urinalysis</t>
  </si>
  <si>
    <t>CRP (HS)</t>
  </si>
  <si>
    <t>FREEMAN, MICHAEL</t>
  </si>
  <si>
    <t>AULTCARE OF OHIO</t>
  </si>
  <si>
    <t>Commercial Insurance Company</t>
  </si>
  <si>
    <t>C-reactive protein hs</t>
  </si>
  <si>
    <t>86141*1</t>
  </si>
  <si>
    <t>E78.00</t>
  </si>
  <si>
    <t>RCBL687441</t>
  </si>
  <si>
    <t>(GFR) Glomerular filtration rate, ALANINE AMINOTRANSFERASE, ALBUMIN, ALKALINE PHOSPHATASE, AMMON, ASPARTATE AMINOTRANSFERASE, BICARBONATE (CO2), Blood Urea Nitrogen, CALCIUM, Chloride, CREATININE, DIRECT BILIRUBIN, GGT, GLUCOSE, POTASSIUM, Prealbumin, Sodium, TOTAL BILIRUBIN, TOTAL PROTEIN</t>
  </si>
  <si>
    <t>Assay of prealbumin</t>
  </si>
  <si>
    <t>84134*1</t>
  </si>
  <si>
    <t>80053*1,82140*1,82248*1,82977*1,84134*1</t>
  </si>
  <si>
    <t>I10 E78.5</t>
  </si>
  <si>
    <t>0,,,,</t>
  </si>
  <si>
    <t>UID</t>
  </si>
  <si>
    <t>25287654187801</t>
  </si>
  <si>
    <t>RCBL687488</t>
  </si>
  <si>
    <t>UTI PAENL</t>
  </si>
  <si>
    <t>Acinetobacter baumannii, uti v3 - UT, AmpC (ACC/ACT/FOX/MIR), uti v3 - UT, AmpC (MOX/LAT/DHA/CMY), uti v3 - UT, Bacteroides fragilis, uti v3 - UT, Candida albicans, uti v3 - UT, Candida auris, uti v3 - UT, Candida glabrata, uti v3 - UT, Candida krusei, uti v3 - UT, Candida parapsilosis, uti v3 - UT, Candida tropicalis, uti v3 - UT, Carbapenems (KPC/NDM/OXA-48), uti v3 - UT, Carbapenems (KPC/NDM/OXA-48/VIM), uti v3 - UT, Citrobacter freundii, uti v3 - UT, Enterobacter Cloacae, uti v3 - UT, Enterococcus faecalis, uti v3 - UT, Enterococcus faecium, uti v3 - UT, ESBL (OHIO/KPC/SHV/TEM), uti v3 - UT, Escherichia coli, uti v3 - UT, Fos A pool, uti v3 - UT, Klebsiella aerogenes, uti v3 - UT, Klebsiella oxytoca complex, uti v3 - UT, Klebsiella pneumoniae, uti v3 - UT, Macrolide (ereB/ermC/mphA), uti v3 - UT, Macrolide (ermA/ermB/mefA), uti v3 - UT, Methicillin (mecA/mecC), uti v3 - UT, Moraxella Catarrhalis, uti v3 - UT, Morganella morganii, uti v3 - UT, Mycoplasma genitalium, uti v3 - UT, Mycoplasma hominis, uti v3 - UT, Proteus mirabilis, uti v3 - UT, Proteus vulgaris, uti v3 - UT, Providencia stuartii, uti v3 - UT, Pseudomonas aeruginosa, uti v3 - UT, Quinolone &amp; Flouroquinolone (qnrA/qnrB/qnrS), uti v3 - UT, Serratia marcescens, uti v3 - UT, Staphylococcus aureus, uti v3 - UT, Staphylococcus Coag-Neg, uti v3 - UT, Staphylococcus epidermidis, MSSE/MRSE v3 - UT, Staphylococcus saprophyticus, uti v3 - UT, Streptococcus agalactiae, uti v3 - UT, Streptococcus dysgalactiae, uti v3 - UT, Streptococcus pneumoniae, uti v3 - UT, Streptococcus pyogenes, uti v3 - UT, Sulfonamide (dfrA1/ dfrA5/sul1/sul2), uti v3 - UT, Tetracycline (tetA/tetB/tetM/tetS), uti v3 - UT, Ureaplasma parvum, uti v3 - UT, Ureaplasma urealyticum, uti v3 - UT, Vancomycin (vanA1/vanA2/vanB), uti v3 - UT</t>
  </si>
  <si>
    <t>PACS</t>
  </si>
  <si>
    <t>PATEL, KAUSHIK</t>
  </si>
  <si>
    <t>BOSLEY, M</t>
  </si>
  <si>
    <t>UPMC HEALTH PLAN (MEDICARE)</t>
  </si>
  <si>
    <t>Detect agnt mult dna ampli</t>
  </si>
  <si>
    <t>87801*1</t>
  </si>
  <si>
    <t>87481*5 (59),87500*1,87563*1,87640*1,87651*1,87653*1,87798*13 (59),87801*1</t>
  </si>
  <si>
    <t>N39.0</t>
  </si>
  <si>
    <t>0,,,,,,,</t>
  </si>
  <si>
    <t>25323147887801</t>
  </si>
  <si>
    <t>RCBL689345</t>
  </si>
  <si>
    <t>UTI PANEL</t>
  </si>
  <si>
    <t>Danbury Senior Living</t>
  </si>
  <si>
    <t>NEWBOLD, THOMAS</t>
  </si>
  <si>
    <t>ANTHEM OHIO (MEDICARE)</t>
  </si>
  <si>
    <t>JRI273M61782</t>
  </si>
  <si>
    <t>25341238087801</t>
  </si>
  <si>
    <t>RCBL689093</t>
  </si>
  <si>
    <t>CENTER FOR MOLECULAR CANCER DIAGNOSTICS INC.</t>
  </si>
  <si>
    <t>PITTLE, HOWARD</t>
  </si>
  <si>
    <t>JOHNSON, ELIZABETH</t>
  </si>
  <si>
    <t>87801*1 (90)</t>
  </si>
  <si>
    <t>87481*5 (90 59),87500*1 (90),87563*1 (90),87640*1 (90),87651*1 (90),87653*1 (90),87798*13 (90 59),87801*1 (90)</t>
  </si>
  <si>
    <t>25341576187801</t>
  </si>
  <si>
    <t>RCBL690155</t>
  </si>
  <si>
    <t>Kemper House</t>
  </si>
  <si>
    <t>PAULEY, LAURA</t>
  </si>
  <si>
    <t>HALL, VERA</t>
  </si>
  <si>
    <t>JRI450M94496</t>
  </si>
  <si>
    <t>25342406987801</t>
  </si>
  <si>
    <t>RCBL687940</t>
  </si>
  <si>
    <t>ALI, SYED</t>
  </si>
  <si>
    <t>RIEBEL, JOANNE</t>
  </si>
  <si>
    <t>MEDICAL MUTUAL OF OHIO (MEDICARE)</t>
  </si>
  <si>
    <t>87481*5 (90 59),87500*1 (90),87563*1 (90),87640*1 (90),87651*1 (90),87653*1 (90),87798*13 (90 59),87801*1</t>
  </si>
  <si>
    <t>icons</t>
  </si>
  <si>
    <t>RID</t>
  </si>
  <si>
    <t>Dept</t>
  </si>
  <si>
    <t>Patient Name</t>
  </si>
  <si>
    <t>Address</t>
  </si>
  <si>
    <t>Icd Codes</t>
  </si>
  <si>
    <t>DOB</t>
  </si>
  <si>
    <t>Site</t>
  </si>
  <si>
    <t>Ordering Physician</t>
  </si>
  <si>
    <t>Due Date</t>
  </si>
  <si>
    <t>Date Accessioned</t>
  </si>
  <si>
    <t>Created From</t>
  </si>
  <si>
    <t>Accessioned by</t>
  </si>
  <si>
    <t>Order #</t>
  </si>
  <si>
    <t>Methods</t>
  </si>
  <si>
    <t>SID(s)</t>
  </si>
  <si>
    <t>Sample #(s)</t>
  </si>
  <si>
    <t>Primary Insurance</t>
  </si>
  <si>
    <t>Policy ID</t>
  </si>
  <si>
    <t>Priority</t>
  </si>
  <si>
    <t>SARS-CoV-2 PCR</t>
  </si>
  <si>
    <t>Final Report Type</t>
  </si>
  <si>
    <t>Billed</t>
  </si>
  <si>
    <t>Req #</t>
  </si>
  <si>
    <t>Collection Date</t>
  </si>
  <si>
    <t>Week</t>
  </si>
  <si>
    <t>Provider NPI</t>
  </si>
  <si>
    <t>Client</t>
  </si>
  <si>
    <t>Panels</t>
  </si>
  <si>
    <t>Sample type</t>
  </si>
  <si>
    <t>Status</t>
  </si>
  <si>
    <t>Dnr Status</t>
  </si>
  <si>
    <t>Approved Date</t>
  </si>
  <si>
    <t>Result Status</t>
  </si>
  <si>
    <t xml:space="preserve">New Status </t>
  </si>
  <si>
    <t>Bill Category</t>
  </si>
  <si>
    <t>Sub Status</t>
  </si>
  <si>
    <t>Billed Date</t>
  </si>
  <si>
    <t>Time to Result</t>
  </si>
  <si>
    <t>Time to Bill</t>
  </si>
  <si>
    <t>comment;Has comments|</t>
  </si>
  <si>
    <t>CoreBioLabs OH</t>
  </si>
  <si>
    <t>Donald Duck</t>
  </si>
  <si>
    <t>111 Duck Cove Rd, North Kingstown, RI 02852</t>
  </si>
  <si>
    <t>A41.82</t>
  </si>
  <si>
    <t>​02/02/1992</t>
  </si>
  <si>
    <t>CBL Test Site</t>
  </si>
  <si>
    <t>CBL Test Doctor</t>
  </si>
  <si>
    <t>Internal</t>
  </si>
  <si>
    <t>MaryAnn Tofil</t>
  </si>
  <si>
    <t>ABC-618</t>
  </si>
  <si>
    <t>Molecular</t>
  </si>
  <si>
    <t>S0000046</t>
  </si>
  <si>
    <t>AETNA</t>
  </si>
  <si>
    <t>222333444A</t>
  </si>
  <si>
    <t>Final</t>
  </si>
  <si>
    <t>R0000047</t>
  </si>
  <si>
    <t>Acinetobacter baumannii - UTI, AmpC - UTI, Candida albicans - UTI, Candida glabrata - UTI, Candida Krusei - UTI, Candida parapsilosis - UTI, Candida Tropicalis - UTI, Carbapenem - UTI, Citrobacter freundii - UTI, Enterobacter aerogenes - UTI, Enterobacter cloacae - UTI, Enterococcus faecalis - UTI, Enterococcus faecium - UTI, ESBL - UTI, Escherichia coli - UTI, Klebsiella oxytoca - UTI, Klebsiella pneumoniae - UTI, Macrolide - UTI, Methicillin (MecA) - UTI, Morganella morganii - UTI, Proteus mirabilis - UTI, Providencia stuartii - UTI, Pseudomonas aeruginosa - UTI, Quinolone &amp; Fluoroquin - UTI, Serratia marcescens - UTI, Staphylococcus aureus - UTI, Staphylococcus saprophyticus - UTI, Strep agalactiae (Group B) - UTI, Streptococcus pneumoniae - UTI, Tetracycline - UTI, Vancomycin - UTI</t>
  </si>
  <si>
    <t>Urine</t>
  </si>
  <si>
    <t>New</t>
  </si>
  <si>
    <t>Not Resulted</t>
  </si>
  <si>
    <t xml:space="preserve">System Test </t>
  </si>
  <si>
    <t>Unbilled</t>
  </si>
  <si>
    <t>-</t>
  </si>
  <si>
    <t>Alex Test</t>
  </si>
  <si>
    <t>7956 Tyler Blvd, Mentor, OH 44060-4806, Lake, US</t>
  </si>
  <si>
    <t>Z20.822</t>
  </si>
  <si>
    <t>​11/24/1982</t>
  </si>
  <si>
    <t>​03/13/2022</t>
  </si>
  <si>
    <t>mobile</t>
  </si>
  <si>
    <t>Alexander M Tolbert</t>
  </si>
  <si>
    <t>ABC-223376</t>
  </si>
  <si>
    <t>SCBL230769</t>
  </si>
  <si>
    <t>5 days</t>
  </si>
  <si>
    <t>RCBL529740</t>
  </si>
  <si>
    <t>SARS-COV-2 - AN</t>
  </si>
  <si>
    <t>Anterior Nares</t>
  </si>
  <si>
    <t>Z11.59</t>
  </si>
  <si>
    <t>SCBL257422</t>
  </si>
  <si>
    <t>RCBL554816</t>
  </si>
  <si>
    <t>Covid-19 (PCR)</t>
  </si>
  <si>
    <t>Nasopharyngeal</t>
  </si>
  <si>
    <t>Test Test</t>
  </si>
  <si>
    <t>R82.5</t>
  </si>
  <si>
    <t>​01/01/1996</t>
  </si>
  <si>
    <t>​02/14/2023</t>
  </si>
  <si>
    <t>Logan Rodenbaugh</t>
  </si>
  <si>
    <t>ABC-264200</t>
  </si>
  <si>
    <t>SCBL274654</t>
  </si>
  <si>
    <t>Cigna</t>
  </si>
  <si>
    <t>RCBL571554</t>
  </si>
  <si>
    <t>CBL-GI</t>
  </si>
  <si>
    <t>Stool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</si>
</sst>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3" borderId="1" xfId="1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44" fontId="2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6BA7-D1FD-46A0-8AEF-523EAA1556B9}">
  <dimension ref="A1:BB6"/>
  <sheetViews>
    <sheetView workbookViewId="0">
      <selection sqref="A1:BB6"/>
    </sheetView>
  </sheetViews>
  <sheetFormatPr defaultRowHeight="14.4" x14ac:dyDescent="0.3"/>
  <sheetData>
    <row r="1" spans="1:54" x14ac:dyDescent="0.3">
      <c r="A1" s="1" t="s">
        <v>0</v>
      </c>
      <c r="B1" s="1" t="s">
        <v>1</v>
      </c>
      <c r="C1" s="1" t="s">
        <v>118</v>
      </c>
      <c r="D1" s="2" t="s">
        <v>2</v>
      </c>
      <c r="E1" s="2" t="s">
        <v>3</v>
      </c>
      <c r="F1" s="2" t="s">
        <v>4</v>
      </c>
      <c r="G1" s="1" t="s">
        <v>5</v>
      </c>
      <c r="H1" s="2" t="s">
        <v>6</v>
      </c>
      <c r="I1" s="3" t="s">
        <v>7</v>
      </c>
      <c r="J1" s="1" t="s">
        <v>8</v>
      </c>
      <c r="K1" s="2" t="s">
        <v>9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3" t="s">
        <v>29</v>
      </c>
      <c r="AE1" s="1" t="s">
        <v>30</v>
      </c>
      <c r="AF1" s="1" t="s">
        <v>31</v>
      </c>
      <c r="AG1" s="3" t="s">
        <v>32</v>
      </c>
      <c r="AH1" s="4" t="s">
        <v>33</v>
      </c>
      <c r="AI1" s="6" t="s">
        <v>35</v>
      </c>
      <c r="AJ1" s="6" t="s">
        <v>36</v>
      </c>
      <c r="AK1" s="6" t="s">
        <v>37</v>
      </c>
      <c r="AL1" s="3" t="s">
        <v>38</v>
      </c>
      <c r="AM1" s="3" t="s">
        <v>39</v>
      </c>
      <c r="AN1" s="7" t="s">
        <v>40</v>
      </c>
      <c r="AO1" s="7" t="s">
        <v>41</v>
      </c>
      <c r="AP1" s="7" t="s">
        <v>42</v>
      </c>
      <c r="AQ1" s="7" t="s">
        <v>43</v>
      </c>
      <c r="AR1" s="7" t="s">
        <v>44</v>
      </c>
      <c r="AS1" s="7" t="s">
        <v>45</v>
      </c>
      <c r="AT1" s="7" t="s">
        <v>46</v>
      </c>
      <c r="AU1" s="7" t="s">
        <v>47</v>
      </c>
      <c r="AV1" s="7" t="s">
        <v>48</v>
      </c>
      <c r="AW1" s="7" t="s">
        <v>49</v>
      </c>
      <c r="AX1" s="7" t="s">
        <v>50</v>
      </c>
      <c r="AY1" s="7" t="s">
        <v>51</v>
      </c>
      <c r="AZ1" s="7" t="s">
        <v>52</v>
      </c>
      <c r="BA1" s="1" t="s">
        <v>53</v>
      </c>
      <c r="BB1" s="8" t="s">
        <v>54</v>
      </c>
    </row>
    <row r="2" spans="1:54" x14ac:dyDescent="0.3">
      <c r="A2" s="10">
        <v>252876541</v>
      </c>
      <c r="B2" s="10" t="b">
        <v>0</v>
      </c>
      <c r="C2" s="10" t="s">
        <v>119</v>
      </c>
      <c r="D2" s="10" t="s">
        <v>120</v>
      </c>
      <c r="E2" s="10" t="s">
        <v>121</v>
      </c>
      <c r="F2" s="10" t="s">
        <v>122</v>
      </c>
      <c r="G2" s="11">
        <v>45659</v>
      </c>
      <c r="H2" s="11">
        <v>45659</v>
      </c>
      <c r="I2" s="11" t="s">
        <v>68</v>
      </c>
      <c r="J2" s="11">
        <v>45701</v>
      </c>
      <c r="K2" s="11">
        <v>45701</v>
      </c>
      <c r="L2" s="11">
        <v>45701</v>
      </c>
      <c r="M2" s="10">
        <v>0</v>
      </c>
      <c r="N2" s="10" t="s">
        <v>69</v>
      </c>
      <c r="O2" s="10" t="s">
        <v>123</v>
      </c>
      <c r="P2" s="10" t="s">
        <v>124</v>
      </c>
      <c r="Q2" s="10"/>
      <c r="R2" s="10">
        <v>62039961</v>
      </c>
      <c r="S2" s="10" t="s">
        <v>125</v>
      </c>
      <c r="T2" s="11">
        <v>15468</v>
      </c>
      <c r="U2" s="10" t="s">
        <v>126</v>
      </c>
      <c r="V2" s="10" t="s">
        <v>107</v>
      </c>
      <c r="W2" s="10">
        <v>315206101</v>
      </c>
      <c r="X2" s="10" t="s">
        <v>127</v>
      </c>
      <c r="Y2" s="10">
        <v>87801</v>
      </c>
      <c r="Z2" s="10">
        <v>1</v>
      </c>
      <c r="AA2" s="10"/>
      <c r="AB2" s="10" t="s">
        <v>128</v>
      </c>
      <c r="AC2" s="10" t="s">
        <v>129</v>
      </c>
      <c r="AD2" s="10" t="s">
        <v>129</v>
      </c>
      <c r="AE2" s="10" t="s">
        <v>77</v>
      </c>
      <c r="AF2" s="10" t="s">
        <v>130</v>
      </c>
      <c r="AG2" s="10" t="s">
        <v>130</v>
      </c>
      <c r="AH2" s="11">
        <v>45827</v>
      </c>
      <c r="AI2" s="11"/>
      <c r="AJ2" s="10"/>
      <c r="AK2" s="10"/>
      <c r="AL2" s="10" t="s">
        <v>131</v>
      </c>
      <c r="AM2" s="10" t="s">
        <v>79</v>
      </c>
      <c r="AN2" s="12">
        <v>105.3</v>
      </c>
      <c r="AO2" s="12">
        <v>68.8</v>
      </c>
      <c r="AP2" s="12">
        <v>0</v>
      </c>
      <c r="AQ2" s="12">
        <v>36.5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36.5</v>
      </c>
      <c r="AY2" s="12">
        <v>0</v>
      </c>
      <c r="AZ2" s="12">
        <v>68.8</v>
      </c>
      <c r="BA2" s="10" t="s">
        <v>80</v>
      </c>
      <c r="BB2" s="13">
        <v>0.6533713200379867</v>
      </c>
    </row>
    <row r="3" spans="1:54" x14ac:dyDescent="0.3">
      <c r="A3" s="10">
        <v>253231478</v>
      </c>
      <c r="B3" s="10" t="b">
        <v>0</v>
      </c>
      <c r="C3" s="10" t="s">
        <v>132</v>
      </c>
      <c r="D3" s="10" t="s">
        <v>133</v>
      </c>
      <c r="E3" s="10" t="s">
        <v>134</v>
      </c>
      <c r="F3" s="10" t="s">
        <v>122</v>
      </c>
      <c r="G3" s="11">
        <v>45664</v>
      </c>
      <c r="H3" s="11">
        <v>45664</v>
      </c>
      <c r="I3" s="11" t="s">
        <v>68</v>
      </c>
      <c r="J3" s="11">
        <v>45860</v>
      </c>
      <c r="K3" s="11">
        <v>45859</v>
      </c>
      <c r="L3" s="11">
        <v>45859</v>
      </c>
      <c r="M3" s="10">
        <v>0</v>
      </c>
      <c r="N3" s="10" t="s">
        <v>69</v>
      </c>
      <c r="O3" s="10" t="s">
        <v>135</v>
      </c>
      <c r="P3" s="10" t="s">
        <v>99</v>
      </c>
      <c r="Q3" s="10"/>
      <c r="R3" s="10">
        <v>63233053</v>
      </c>
      <c r="S3" s="10" t="s">
        <v>136</v>
      </c>
      <c r="T3" s="11">
        <v>17210</v>
      </c>
      <c r="U3" s="10" t="s">
        <v>137</v>
      </c>
      <c r="V3" s="10" t="s">
        <v>107</v>
      </c>
      <c r="W3" s="10" t="s">
        <v>138</v>
      </c>
      <c r="X3" s="10" t="s">
        <v>127</v>
      </c>
      <c r="Y3" s="10">
        <v>87801</v>
      </c>
      <c r="Z3" s="10">
        <v>1</v>
      </c>
      <c r="AA3" s="10"/>
      <c r="AB3" s="10" t="s">
        <v>128</v>
      </c>
      <c r="AC3" s="10" t="s">
        <v>129</v>
      </c>
      <c r="AD3" s="10" t="s">
        <v>129</v>
      </c>
      <c r="AE3" s="10" t="s">
        <v>77</v>
      </c>
      <c r="AF3" s="10" t="s">
        <v>130</v>
      </c>
      <c r="AG3" s="10" t="s">
        <v>130</v>
      </c>
      <c r="AH3" s="11">
        <v>45861</v>
      </c>
      <c r="AI3" s="11"/>
      <c r="AJ3" s="10"/>
      <c r="AK3" s="10"/>
      <c r="AL3" s="10" t="s">
        <v>131</v>
      </c>
      <c r="AM3" s="10" t="s">
        <v>79</v>
      </c>
      <c r="AN3" s="12">
        <v>105.3</v>
      </c>
      <c r="AO3" s="12">
        <v>68.8</v>
      </c>
      <c r="AP3" s="12">
        <v>0</v>
      </c>
      <c r="AQ3" s="12">
        <v>36.5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36.5</v>
      </c>
      <c r="AY3" s="12">
        <v>0</v>
      </c>
      <c r="AZ3" s="12">
        <v>68.8</v>
      </c>
      <c r="BA3" s="10" t="s">
        <v>80</v>
      </c>
      <c r="BB3" s="13">
        <v>0.6533713200379867</v>
      </c>
    </row>
    <row r="4" spans="1:54" x14ac:dyDescent="0.3">
      <c r="A4" s="10">
        <v>253412380</v>
      </c>
      <c r="B4" s="10" t="b">
        <v>0</v>
      </c>
      <c r="C4" s="10" t="s">
        <v>139</v>
      </c>
      <c r="D4" s="10" t="s">
        <v>140</v>
      </c>
      <c r="E4" s="10" t="s">
        <v>134</v>
      </c>
      <c r="F4" s="10" t="s">
        <v>122</v>
      </c>
      <c r="G4" s="11">
        <v>45664</v>
      </c>
      <c r="H4" s="11">
        <v>45664</v>
      </c>
      <c r="I4" s="11" t="s">
        <v>68</v>
      </c>
      <c r="J4" s="11">
        <v>45701</v>
      </c>
      <c r="K4" s="11">
        <v>45701</v>
      </c>
      <c r="L4" s="11">
        <v>45701</v>
      </c>
      <c r="M4" s="10">
        <v>0</v>
      </c>
      <c r="N4" s="10" t="s">
        <v>141</v>
      </c>
      <c r="O4" s="10" t="s">
        <v>123</v>
      </c>
      <c r="P4" s="10" t="s">
        <v>142</v>
      </c>
      <c r="Q4" s="10"/>
      <c r="R4" s="10">
        <v>62177342</v>
      </c>
      <c r="S4" s="10" t="s">
        <v>143</v>
      </c>
      <c r="T4" s="11">
        <v>19037</v>
      </c>
      <c r="U4" s="10" t="s">
        <v>126</v>
      </c>
      <c r="V4" s="10" t="s">
        <v>107</v>
      </c>
      <c r="W4" s="10">
        <v>324543101</v>
      </c>
      <c r="X4" s="10" t="s">
        <v>127</v>
      </c>
      <c r="Y4" s="10">
        <v>87801</v>
      </c>
      <c r="Z4" s="10">
        <v>1</v>
      </c>
      <c r="AA4" s="10">
        <v>90</v>
      </c>
      <c r="AB4" s="10" t="s">
        <v>144</v>
      </c>
      <c r="AC4" s="10" t="s">
        <v>145</v>
      </c>
      <c r="AD4" s="10" t="s">
        <v>145</v>
      </c>
      <c r="AE4" s="10" t="s">
        <v>77</v>
      </c>
      <c r="AF4" s="10" t="s">
        <v>130</v>
      </c>
      <c r="AG4" s="10" t="s">
        <v>130</v>
      </c>
      <c r="AH4" s="11">
        <v>45832</v>
      </c>
      <c r="AI4" s="11"/>
      <c r="AJ4" s="10"/>
      <c r="AK4" s="10"/>
      <c r="AL4" s="10" t="s">
        <v>131</v>
      </c>
      <c r="AM4" s="10" t="s">
        <v>79</v>
      </c>
      <c r="AN4" s="12">
        <v>105.3</v>
      </c>
      <c r="AO4" s="12">
        <v>0</v>
      </c>
      <c r="AP4" s="12">
        <v>0</v>
      </c>
      <c r="AQ4" s="12">
        <v>105.3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105.3</v>
      </c>
      <c r="AY4" s="12">
        <v>0</v>
      </c>
      <c r="AZ4" s="12">
        <v>0</v>
      </c>
      <c r="BA4" s="10" t="s">
        <v>80</v>
      </c>
      <c r="BB4" s="13">
        <v>0</v>
      </c>
    </row>
    <row r="5" spans="1:54" x14ac:dyDescent="0.3">
      <c r="A5" s="10">
        <v>253415761</v>
      </c>
      <c r="B5" s="10" t="b">
        <v>0</v>
      </c>
      <c r="C5" s="10" t="s">
        <v>146</v>
      </c>
      <c r="D5" s="10" t="s">
        <v>147</v>
      </c>
      <c r="E5" s="10" t="s">
        <v>134</v>
      </c>
      <c r="F5" s="10" t="s">
        <v>122</v>
      </c>
      <c r="G5" s="11">
        <v>45666</v>
      </c>
      <c r="H5" s="11">
        <v>45666</v>
      </c>
      <c r="I5" s="11" t="s">
        <v>68</v>
      </c>
      <c r="J5" s="11">
        <v>45846</v>
      </c>
      <c r="K5" s="11">
        <v>45845</v>
      </c>
      <c r="L5" s="11">
        <v>45845</v>
      </c>
      <c r="M5" s="10">
        <v>0</v>
      </c>
      <c r="N5" s="10" t="s">
        <v>69</v>
      </c>
      <c r="O5" s="10" t="s">
        <v>148</v>
      </c>
      <c r="P5" s="10" t="s">
        <v>149</v>
      </c>
      <c r="Q5" s="10"/>
      <c r="R5" s="10">
        <v>62408869</v>
      </c>
      <c r="S5" s="10" t="s">
        <v>150</v>
      </c>
      <c r="T5" s="11">
        <v>19629</v>
      </c>
      <c r="U5" s="10" t="s">
        <v>137</v>
      </c>
      <c r="V5" s="10" t="s">
        <v>107</v>
      </c>
      <c r="W5" s="10" t="s">
        <v>151</v>
      </c>
      <c r="X5" s="10" t="s">
        <v>127</v>
      </c>
      <c r="Y5" s="10">
        <v>87801</v>
      </c>
      <c r="Z5" s="10">
        <v>1</v>
      </c>
      <c r="AA5" s="10"/>
      <c r="AB5" s="10" t="s">
        <v>128</v>
      </c>
      <c r="AC5" s="10" t="s">
        <v>129</v>
      </c>
      <c r="AD5" s="10" t="s">
        <v>129</v>
      </c>
      <c r="AE5" s="10" t="s">
        <v>77</v>
      </c>
      <c r="AF5" s="10" t="s">
        <v>130</v>
      </c>
      <c r="AG5" s="10" t="s">
        <v>130</v>
      </c>
      <c r="AH5" s="11">
        <v>45859</v>
      </c>
      <c r="AI5" s="11"/>
      <c r="AJ5" s="10"/>
      <c r="AK5" s="10"/>
      <c r="AL5" s="10" t="s">
        <v>131</v>
      </c>
      <c r="AM5" s="10" t="s">
        <v>79</v>
      </c>
      <c r="AN5" s="12">
        <v>105.3</v>
      </c>
      <c r="AO5" s="12">
        <v>68.8</v>
      </c>
      <c r="AP5" s="12">
        <v>0</v>
      </c>
      <c r="AQ5" s="12">
        <v>36.5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36.5</v>
      </c>
      <c r="AY5" s="12">
        <v>0</v>
      </c>
      <c r="AZ5" s="12">
        <v>68.8</v>
      </c>
      <c r="BA5" s="10" t="s">
        <v>80</v>
      </c>
      <c r="BB5" s="13">
        <v>0.6533713200379867</v>
      </c>
    </row>
    <row r="6" spans="1:54" x14ac:dyDescent="0.3">
      <c r="A6" s="10">
        <v>253424069</v>
      </c>
      <c r="B6" s="10" t="b">
        <v>0</v>
      </c>
      <c r="C6" s="10" t="s">
        <v>152</v>
      </c>
      <c r="D6" s="10" t="s">
        <v>153</v>
      </c>
      <c r="E6" s="10" t="s">
        <v>134</v>
      </c>
      <c r="F6" s="10" t="s">
        <v>122</v>
      </c>
      <c r="G6" s="11">
        <v>45660</v>
      </c>
      <c r="H6" s="11">
        <v>45660</v>
      </c>
      <c r="I6" s="11" t="s">
        <v>68</v>
      </c>
      <c r="J6" s="11">
        <v>45701</v>
      </c>
      <c r="K6" s="11">
        <v>45701</v>
      </c>
      <c r="L6" s="11">
        <v>45749</v>
      </c>
      <c r="M6" s="10">
        <v>0</v>
      </c>
      <c r="N6" s="10" t="s">
        <v>69</v>
      </c>
      <c r="O6" s="10" t="s">
        <v>123</v>
      </c>
      <c r="P6" s="10" t="s">
        <v>154</v>
      </c>
      <c r="Q6" s="10"/>
      <c r="R6" s="10">
        <v>62386101</v>
      </c>
      <c r="S6" s="10" t="s">
        <v>155</v>
      </c>
      <c r="T6" s="11">
        <v>18702</v>
      </c>
      <c r="U6" s="10" t="s">
        <v>156</v>
      </c>
      <c r="V6" s="10" t="s">
        <v>107</v>
      </c>
      <c r="W6" s="10">
        <v>67800701</v>
      </c>
      <c r="X6" s="10" t="s">
        <v>127</v>
      </c>
      <c r="Y6" s="10">
        <v>87801</v>
      </c>
      <c r="Z6" s="10">
        <v>1</v>
      </c>
      <c r="AA6" s="10"/>
      <c r="AB6" s="10" t="s">
        <v>128</v>
      </c>
      <c r="AC6" s="10" t="s">
        <v>157</v>
      </c>
      <c r="AD6" s="10" t="s">
        <v>157</v>
      </c>
      <c r="AE6" s="10" t="s">
        <v>77</v>
      </c>
      <c r="AF6" s="10" t="s">
        <v>130</v>
      </c>
      <c r="AG6" s="10" t="s">
        <v>130</v>
      </c>
      <c r="AH6" s="11">
        <v>46049</v>
      </c>
      <c r="AI6" s="11"/>
      <c r="AJ6" s="10"/>
      <c r="AK6" s="10"/>
      <c r="AL6" s="10" t="s">
        <v>131</v>
      </c>
      <c r="AM6" s="10" t="s">
        <v>79</v>
      </c>
      <c r="AN6" s="12">
        <v>105.3</v>
      </c>
      <c r="AO6" s="12">
        <v>0</v>
      </c>
      <c r="AP6" s="12">
        <v>0</v>
      </c>
      <c r="AQ6" s="12">
        <v>105.3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105.3</v>
      </c>
      <c r="AY6" s="12">
        <v>0</v>
      </c>
      <c r="AZ6" s="12">
        <v>0</v>
      </c>
      <c r="BA6" s="10" t="s">
        <v>80</v>
      </c>
      <c r="BB6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5FC1-71BF-405E-A734-194B803E2374}">
  <dimension ref="A1:AP5"/>
  <sheetViews>
    <sheetView workbookViewId="0">
      <selection sqref="A1:AP5"/>
    </sheetView>
  </sheetViews>
  <sheetFormatPr defaultRowHeight="14.4" x14ac:dyDescent="0.3"/>
  <sheetData>
    <row r="1" spans="1:42" x14ac:dyDescent="0.3">
      <c r="A1" s="1" t="s">
        <v>158</v>
      </c>
      <c r="B1" s="1" t="s">
        <v>159</v>
      </c>
      <c r="C1" s="1" t="s">
        <v>160</v>
      </c>
      <c r="D1" s="2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2" t="s">
        <v>166</v>
      </c>
      <c r="J1" s="1" t="s">
        <v>167</v>
      </c>
      <c r="K1" s="14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2" t="s">
        <v>175</v>
      </c>
      <c r="S1" s="2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2" t="s">
        <v>181</v>
      </c>
      <c r="Y1" s="2" t="s">
        <v>1</v>
      </c>
      <c r="Z1" s="6" t="s">
        <v>182</v>
      </c>
      <c r="AA1" s="3" t="s">
        <v>183</v>
      </c>
      <c r="AB1" s="2" t="s">
        <v>184</v>
      </c>
      <c r="AC1" s="2" t="s">
        <v>185</v>
      </c>
      <c r="AD1" s="2" t="s">
        <v>186</v>
      </c>
      <c r="AE1" s="2" t="s">
        <v>187</v>
      </c>
      <c r="AF1" s="3" t="s">
        <v>3</v>
      </c>
      <c r="AG1" s="2" t="s">
        <v>188</v>
      </c>
      <c r="AH1" s="2" t="s">
        <v>189</v>
      </c>
      <c r="AI1" s="6" t="s">
        <v>190</v>
      </c>
      <c r="AJ1" s="3" t="s">
        <v>191</v>
      </c>
      <c r="AK1" s="3" t="s">
        <v>192</v>
      </c>
      <c r="AL1" s="3" t="s">
        <v>193</v>
      </c>
      <c r="AM1" s="3" t="s">
        <v>194</v>
      </c>
      <c r="AN1" s="5" t="s">
        <v>195</v>
      </c>
      <c r="AO1" s="15" t="s">
        <v>196</v>
      </c>
      <c r="AP1" s="15" t="s">
        <v>197</v>
      </c>
    </row>
    <row r="2" spans="1:42" x14ac:dyDescent="0.3">
      <c r="A2" s="10" t="s">
        <v>198</v>
      </c>
      <c r="B2" s="10">
        <v>47</v>
      </c>
      <c r="C2" s="10" t="s">
        <v>199</v>
      </c>
      <c r="D2" s="10" t="s">
        <v>200</v>
      </c>
      <c r="E2" s="10" t="s">
        <v>201</v>
      </c>
      <c r="F2" s="10" t="s">
        <v>202</v>
      </c>
      <c r="G2" s="10" t="s">
        <v>203</v>
      </c>
      <c r="H2" s="10" t="s">
        <v>204</v>
      </c>
      <c r="I2" s="10" t="s">
        <v>205</v>
      </c>
      <c r="J2" s="10"/>
      <c r="K2" s="11">
        <v>43952</v>
      </c>
      <c r="L2" s="10" t="s">
        <v>206</v>
      </c>
      <c r="M2" s="10" t="s">
        <v>207</v>
      </c>
      <c r="N2" s="10" t="s">
        <v>208</v>
      </c>
      <c r="O2" s="10" t="s">
        <v>209</v>
      </c>
      <c r="P2" s="10">
        <v>46</v>
      </c>
      <c r="Q2" s="10" t="s">
        <v>210</v>
      </c>
      <c r="R2" s="10" t="s">
        <v>211</v>
      </c>
      <c r="S2" s="10" t="s">
        <v>212</v>
      </c>
      <c r="T2" s="10"/>
      <c r="U2" s="10"/>
      <c r="V2" s="10" t="s">
        <v>213</v>
      </c>
      <c r="W2" s="10">
        <v>1</v>
      </c>
      <c r="X2" s="10" t="s">
        <v>214</v>
      </c>
      <c r="Y2" s="10" t="b">
        <f>X2=X3</f>
        <v>0</v>
      </c>
      <c r="Z2" s="11">
        <v>46028</v>
      </c>
      <c r="AA2" s="16"/>
      <c r="AB2" s="10">
        <v>1234567890</v>
      </c>
      <c r="AC2" s="10" t="s">
        <v>204</v>
      </c>
      <c r="AD2" s="10" t="s">
        <v>215</v>
      </c>
      <c r="AE2" s="10" t="s">
        <v>216</v>
      </c>
      <c r="AF2" s="10"/>
      <c r="AG2" s="10" t="s">
        <v>217</v>
      </c>
      <c r="AH2" s="10"/>
      <c r="AI2" s="11"/>
      <c r="AJ2" s="10" t="s">
        <v>218</v>
      </c>
      <c r="AK2" s="10" t="s">
        <v>219</v>
      </c>
      <c r="AL2" s="10" t="s">
        <v>220</v>
      </c>
      <c r="AM2" s="10" t="s">
        <v>221</v>
      </c>
      <c r="AN2" s="11"/>
      <c r="AO2" s="17"/>
      <c r="AP2" s="17">
        <f>AN2-AI2</f>
        <v>0</v>
      </c>
    </row>
    <row r="3" spans="1:42" x14ac:dyDescent="0.3">
      <c r="A3" s="10" t="s">
        <v>198</v>
      </c>
      <c r="B3" s="10">
        <v>529740</v>
      </c>
      <c r="C3" s="10" t="s">
        <v>199</v>
      </c>
      <c r="D3" s="10" t="s">
        <v>222</v>
      </c>
      <c r="E3" s="10" t="s">
        <v>223</v>
      </c>
      <c r="F3" s="10" t="s">
        <v>224</v>
      </c>
      <c r="G3" s="10" t="s">
        <v>225</v>
      </c>
      <c r="H3" s="10" t="s">
        <v>204</v>
      </c>
      <c r="I3" s="10" t="s">
        <v>205</v>
      </c>
      <c r="J3" s="10" t="s">
        <v>226</v>
      </c>
      <c r="K3" s="11">
        <v>44628</v>
      </c>
      <c r="L3" s="10" t="s">
        <v>227</v>
      </c>
      <c r="M3" s="10" t="s">
        <v>228</v>
      </c>
      <c r="N3" s="10" t="s">
        <v>229</v>
      </c>
      <c r="O3" s="10" t="s">
        <v>209</v>
      </c>
      <c r="P3" s="10">
        <v>230769</v>
      </c>
      <c r="Q3" s="10" t="s">
        <v>230</v>
      </c>
      <c r="R3" s="10"/>
      <c r="S3" s="10"/>
      <c r="T3" s="10" t="s">
        <v>231</v>
      </c>
      <c r="U3" s="10"/>
      <c r="V3" s="10" t="s">
        <v>213</v>
      </c>
      <c r="W3" s="10">
        <v>0</v>
      </c>
      <c r="X3" s="10" t="s">
        <v>232</v>
      </c>
      <c r="Y3" s="10" t="b">
        <f t="shared" ref="Y3:Y5" si="0">X3=X4</f>
        <v>0</v>
      </c>
      <c r="Z3" s="11">
        <v>46028</v>
      </c>
      <c r="AA3" s="16"/>
      <c r="AB3" s="10">
        <v>1234567890</v>
      </c>
      <c r="AC3" s="10" t="s">
        <v>204</v>
      </c>
      <c r="AD3" s="10" t="s">
        <v>233</v>
      </c>
      <c r="AE3" s="10" t="s">
        <v>234</v>
      </c>
      <c r="AF3" s="10"/>
      <c r="AG3" s="10" t="s">
        <v>217</v>
      </c>
      <c r="AH3" s="10"/>
      <c r="AI3" s="11"/>
      <c r="AJ3" s="10" t="s">
        <v>218</v>
      </c>
      <c r="AK3" s="10" t="s">
        <v>219</v>
      </c>
      <c r="AL3" s="10" t="s">
        <v>220</v>
      </c>
      <c r="AM3" s="10" t="s">
        <v>221</v>
      </c>
      <c r="AN3" s="11"/>
      <c r="AO3" s="17"/>
      <c r="AP3" s="17">
        <f t="shared" ref="AP3:AP5" si="1">AN3-AI3</f>
        <v>0</v>
      </c>
    </row>
    <row r="4" spans="1:42" x14ac:dyDescent="0.3">
      <c r="A4" s="10"/>
      <c r="B4" s="10">
        <v>554816</v>
      </c>
      <c r="C4" s="10" t="s">
        <v>199</v>
      </c>
      <c r="D4" s="10" t="s">
        <v>222</v>
      </c>
      <c r="E4" s="10" t="s">
        <v>223</v>
      </c>
      <c r="F4" s="10" t="s">
        <v>235</v>
      </c>
      <c r="G4" s="10" t="s">
        <v>225</v>
      </c>
      <c r="H4" s="10" t="s">
        <v>204</v>
      </c>
      <c r="I4" s="10" t="s">
        <v>205</v>
      </c>
      <c r="J4" s="10"/>
      <c r="K4" s="11">
        <v>44824</v>
      </c>
      <c r="L4" s="10" t="s">
        <v>206</v>
      </c>
      <c r="M4" s="10" t="s">
        <v>228</v>
      </c>
      <c r="N4" s="10"/>
      <c r="O4" s="10" t="s">
        <v>209</v>
      </c>
      <c r="P4" s="10">
        <v>257422</v>
      </c>
      <c r="Q4" s="10" t="s">
        <v>236</v>
      </c>
      <c r="R4" s="10"/>
      <c r="S4" s="10"/>
      <c r="T4" s="10" t="s">
        <v>231</v>
      </c>
      <c r="U4" s="10"/>
      <c r="V4" s="10" t="s">
        <v>213</v>
      </c>
      <c r="W4" s="10">
        <v>0</v>
      </c>
      <c r="X4" s="10" t="s">
        <v>237</v>
      </c>
      <c r="Y4" s="10" t="b">
        <f t="shared" si="0"/>
        <v>0</v>
      </c>
      <c r="Z4" s="11">
        <v>46030</v>
      </c>
      <c r="AA4" s="16"/>
      <c r="AB4" s="10">
        <v>1234567890</v>
      </c>
      <c r="AC4" s="10" t="s">
        <v>204</v>
      </c>
      <c r="AD4" s="10" t="s">
        <v>238</v>
      </c>
      <c r="AE4" s="10" t="s">
        <v>239</v>
      </c>
      <c r="AF4" s="10"/>
      <c r="AG4" s="10" t="s">
        <v>217</v>
      </c>
      <c r="AH4" s="10"/>
      <c r="AI4" s="11"/>
      <c r="AJ4" s="10" t="s">
        <v>218</v>
      </c>
      <c r="AK4" s="10" t="s">
        <v>219</v>
      </c>
      <c r="AL4" s="10" t="s">
        <v>220</v>
      </c>
      <c r="AM4" s="10" t="s">
        <v>221</v>
      </c>
      <c r="AN4" s="11"/>
      <c r="AO4" s="17"/>
      <c r="AP4" s="17">
        <f t="shared" si="1"/>
        <v>0</v>
      </c>
    </row>
    <row r="5" spans="1:42" x14ac:dyDescent="0.3">
      <c r="A5" s="10"/>
      <c r="B5" s="10">
        <v>571554</v>
      </c>
      <c r="C5" s="10" t="s">
        <v>199</v>
      </c>
      <c r="D5" s="10" t="s">
        <v>240</v>
      </c>
      <c r="E5" s="10" t="s">
        <v>223</v>
      </c>
      <c r="F5" s="10" t="s">
        <v>241</v>
      </c>
      <c r="G5" s="10" t="s">
        <v>242</v>
      </c>
      <c r="H5" s="10" t="s">
        <v>204</v>
      </c>
      <c r="I5" s="10" t="s">
        <v>205</v>
      </c>
      <c r="J5" s="10" t="s">
        <v>243</v>
      </c>
      <c r="K5" s="11">
        <v>44966</v>
      </c>
      <c r="L5" s="10" t="s">
        <v>206</v>
      </c>
      <c r="M5" s="10" t="s">
        <v>244</v>
      </c>
      <c r="N5" s="10" t="s">
        <v>245</v>
      </c>
      <c r="O5" s="10" t="s">
        <v>209</v>
      </c>
      <c r="P5" s="10">
        <v>274654</v>
      </c>
      <c r="Q5" s="10" t="s">
        <v>246</v>
      </c>
      <c r="R5" s="10" t="s">
        <v>247</v>
      </c>
      <c r="S5" s="10">
        <v>1234567894515410</v>
      </c>
      <c r="T5" s="10" t="s">
        <v>231</v>
      </c>
      <c r="U5" s="10"/>
      <c r="V5" s="10" t="s">
        <v>213</v>
      </c>
      <c r="W5" s="10">
        <v>0</v>
      </c>
      <c r="X5" s="10" t="s">
        <v>248</v>
      </c>
      <c r="Y5" s="10" t="b">
        <f t="shared" si="0"/>
        <v>0</v>
      </c>
      <c r="Z5" s="11">
        <v>46030</v>
      </c>
      <c r="AA5" s="16"/>
      <c r="AB5" s="10">
        <v>1234567890</v>
      </c>
      <c r="AC5" s="10" t="s">
        <v>204</v>
      </c>
      <c r="AD5" s="10" t="s">
        <v>249</v>
      </c>
      <c r="AE5" s="10" t="s">
        <v>250</v>
      </c>
      <c r="AF5" s="10"/>
      <c r="AG5" s="10" t="s">
        <v>217</v>
      </c>
      <c r="AH5" s="10"/>
      <c r="AI5" s="11"/>
      <c r="AJ5" s="10" t="s">
        <v>218</v>
      </c>
      <c r="AK5" s="10" t="s">
        <v>219</v>
      </c>
      <c r="AL5" s="10" t="s">
        <v>220</v>
      </c>
      <c r="AM5" s="10" t="s">
        <v>221</v>
      </c>
      <c r="AN5" s="11"/>
      <c r="AO5" s="17"/>
      <c r="AP5" s="17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5F25-D959-409A-82E1-FDAFA457CB44}">
  <dimension ref="A1:BM7"/>
  <sheetViews>
    <sheetView tabSelected="1" workbookViewId="0">
      <selection activeCell="M13" sqref="M13"/>
    </sheetView>
  </sheetViews>
  <sheetFormatPr defaultRowHeight="14.4" x14ac:dyDescent="0.3"/>
  <sheetData>
    <row r="1" spans="1:65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3" t="s">
        <v>29</v>
      </c>
      <c r="AE1" s="1" t="s">
        <v>30</v>
      </c>
      <c r="AF1" s="1" t="s">
        <v>31</v>
      </c>
      <c r="AG1" s="3" t="s">
        <v>32</v>
      </c>
      <c r="AH1" s="4" t="s">
        <v>33</v>
      </c>
      <c r="AI1" s="5" t="s">
        <v>34</v>
      </c>
      <c r="AJ1" s="6" t="s">
        <v>35</v>
      </c>
      <c r="AK1" s="6" t="s">
        <v>36</v>
      </c>
      <c r="AL1" s="6" t="s">
        <v>37</v>
      </c>
      <c r="AM1" s="3" t="s">
        <v>38</v>
      </c>
      <c r="AN1" s="3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1" t="s">
        <v>53</v>
      </c>
      <c r="BC1" s="8" t="s">
        <v>54</v>
      </c>
      <c r="BD1" s="5" t="s">
        <v>55</v>
      </c>
      <c r="BE1" s="9" t="s">
        <v>56</v>
      </c>
      <c r="BF1" s="5" t="s">
        <v>57</v>
      </c>
      <c r="BG1" s="9" t="s">
        <v>58</v>
      </c>
      <c r="BH1" s="5" t="s">
        <v>59</v>
      </c>
      <c r="BI1" s="9" t="s">
        <v>60</v>
      </c>
      <c r="BJ1" s="5" t="s">
        <v>61</v>
      </c>
      <c r="BK1" s="9" t="s">
        <v>62</v>
      </c>
      <c r="BL1" s="5" t="s">
        <v>63</v>
      </c>
      <c r="BM1" s="5" t="s">
        <v>64</v>
      </c>
    </row>
    <row r="2" spans="1:65" x14ac:dyDescent="0.3">
      <c r="A2" s="10">
        <v>252696669</v>
      </c>
      <c r="B2" s="10" t="b">
        <v>0</v>
      </c>
      <c r="C2" s="10" t="s">
        <v>65</v>
      </c>
      <c r="D2" s="10" t="s">
        <v>66</v>
      </c>
      <c r="E2" s="10" t="s">
        <v>67</v>
      </c>
      <c r="F2" s="11">
        <v>45659</v>
      </c>
      <c r="G2" s="11">
        <v>45659</v>
      </c>
      <c r="H2" s="11" t="s">
        <v>68</v>
      </c>
      <c r="I2" s="11">
        <v>45660</v>
      </c>
      <c r="J2" s="11">
        <v>45660</v>
      </c>
      <c r="K2" s="11"/>
      <c r="L2" s="11">
        <v>45660</v>
      </c>
      <c r="M2" s="10">
        <v>0</v>
      </c>
      <c r="N2" s="10" t="s">
        <v>69</v>
      </c>
      <c r="O2" s="10" t="s">
        <v>70</v>
      </c>
      <c r="P2" s="10" t="s">
        <v>71</v>
      </c>
      <c r="Q2" s="10"/>
      <c r="R2" s="10">
        <v>60077547</v>
      </c>
      <c r="S2" s="10" t="s">
        <v>72</v>
      </c>
      <c r="T2" s="11">
        <v>21980</v>
      </c>
      <c r="U2" s="10" t="s">
        <v>73</v>
      </c>
      <c r="V2" s="10" t="s">
        <v>74</v>
      </c>
      <c r="W2" s="10">
        <v>983650198</v>
      </c>
      <c r="X2" s="10" t="s">
        <v>75</v>
      </c>
      <c r="Y2" s="10">
        <v>85025</v>
      </c>
      <c r="Z2" s="10">
        <v>1</v>
      </c>
      <c r="AA2" s="10"/>
      <c r="AB2" s="10" t="s">
        <v>76</v>
      </c>
      <c r="AC2" s="10" t="s">
        <v>76</v>
      </c>
      <c r="AD2" s="10" t="s">
        <v>76</v>
      </c>
      <c r="AE2" s="10" t="s">
        <v>77</v>
      </c>
      <c r="AF2" s="10" t="s">
        <v>78</v>
      </c>
      <c r="AG2" s="10" t="s">
        <v>78</v>
      </c>
      <c r="AH2" s="11">
        <v>45679</v>
      </c>
      <c r="AI2" s="11"/>
      <c r="AJ2" s="11"/>
      <c r="AK2" s="10"/>
      <c r="AL2" s="10"/>
      <c r="AM2" s="10">
        <v>0</v>
      </c>
      <c r="AN2" s="10" t="s">
        <v>79</v>
      </c>
      <c r="AO2" s="12">
        <v>11.66</v>
      </c>
      <c r="AP2" s="12">
        <v>7.62</v>
      </c>
      <c r="AQ2" s="12">
        <v>0</v>
      </c>
      <c r="AR2" s="12">
        <v>4.04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4.04</v>
      </c>
      <c r="AZ2" s="12">
        <v>0</v>
      </c>
      <c r="BA2" s="12">
        <v>7.62</v>
      </c>
      <c r="BB2" s="10" t="s">
        <v>80</v>
      </c>
      <c r="BC2" s="13">
        <v>0.65351629502572894</v>
      </c>
      <c r="BD2" s="11" t="s">
        <v>81</v>
      </c>
      <c r="BE2" s="12">
        <f>AP2</f>
        <v>7.62</v>
      </c>
      <c r="BF2" s="11" t="s">
        <v>82</v>
      </c>
      <c r="BG2" s="12">
        <f>AP2</f>
        <v>7.62</v>
      </c>
      <c r="BH2" s="11" t="s">
        <v>83</v>
      </c>
      <c r="BI2" s="12">
        <f>AP2</f>
        <v>7.62</v>
      </c>
      <c r="BJ2" s="11" t="s">
        <v>84</v>
      </c>
      <c r="BK2" s="12">
        <f>AP2</f>
        <v>7.62</v>
      </c>
      <c r="BL2" s="11" t="s">
        <v>85</v>
      </c>
      <c r="BM2" s="11" t="s">
        <v>86</v>
      </c>
    </row>
    <row r="3" spans="1:65" x14ac:dyDescent="0.3">
      <c r="A3" s="10">
        <v>252697175</v>
      </c>
      <c r="B3" s="10" t="b">
        <v>0</v>
      </c>
      <c r="C3" s="10" t="s">
        <v>87</v>
      </c>
      <c r="D3" s="10" t="s">
        <v>66</v>
      </c>
      <c r="E3" s="10" t="s">
        <v>88</v>
      </c>
      <c r="F3" s="11">
        <v>45659</v>
      </c>
      <c r="G3" s="11">
        <v>45659</v>
      </c>
      <c r="H3" s="11" t="s">
        <v>68</v>
      </c>
      <c r="I3" s="11">
        <v>45660</v>
      </c>
      <c r="J3" s="11">
        <v>45660</v>
      </c>
      <c r="K3" s="11"/>
      <c r="L3" s="11">
        <v>45660</v>
      </c>
      <c r="M3" s="10">
        <v>0</v>
      </c>
      <c r="N3" s="10" t="s">
        <v>69</v>
      </c>
      <c r="O3" s="10" t="s">
        <v>70</v>
      </c>
      <c r="P3" s="10" t="s">
        <v>71</v>
      </c>
      <c r="Q3" s="10"/>
      <c r="R3" s="10">
        <v>60077547</v>
      </c>
      <c r="S3" s="10" t="s">
        <v>72</v>
      </c>
      <c r="T3" s="11">
        <v>21980</v>
      </c>
      <c r="U3" s="10" t="s">
        <v>73</v>
      </c>
      <c r="V3" s="10" t="s">
        <v>74</v>
      </c>
      <c r="W3" s="10">
        <v>983650198</v>
      </c>
      <c r="X3" s="10" t="s">
        <v>89</v>
      </c>
      <c r="Y3" s="10">
        <v>80053</v>
      </c>
      <c r="Z3" s="10">
        <v>1</v>
      </c>
      <c r="AA3" s="10"/>
      <c r="AB3" s="10" t="s">
        <v>90</v>
      </c>
      <c r="AC3" s="10" t="s">
        <v>90</v>
      </c>
      <c r="AD3" s="10" t="s">
        <v>90</v>
      </c>
      <c r="AE3" s="10" t="s">
        <v>77</v>
      </c>
      <c r="AF3" s="10" t="s">
        <v>91</v>
      </c>
      <c r="AG3" s="10" t="s">
        <v>91</v>
      </c>
      <c r="AH3" s="11">
        <v>45679</v>
      </c>
      <c r="AI3" s="11"/>
      <c r="AJ3" s="11"/>
      <c r="AK3" s="10"/>
      <c r="AL3" s="10"/>
      <c r="AM3" s="10">
        <v>0</v>
      </c>
      <c r="AN3" s="10" t="s">
        <v>79</v>
      </c>
      <c r="AO3" s="12">
        <v>15.84</v>
      </c>
      <c r="AP3" s="12">
        <v>10.35</v>
      </c>
      <c r="AQ3" s="12">
        <v>0</v>
      </c>
      <c r="AR3" s="12">
        <v>5.49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5.49</v>
      </c>
      <c r="AZ3" s="12">
        <v>0</v>
      </c>
      <c r="BA3" s="12">
        <v>10.35</v>
      </c>
      <c r="BB3" s="10" t="s">
        <v>80</v>
      </c>
      <c r="BC3" s="13">
        <v>0.65340909090909094</v>
      </c>
      <c r="BD3" s="11" t="s">
        <v>81</v>
      </c>
      <c r="BE3" s="12">
        <f t="shared" ref="BE3:BE7" si="0">AP3</f>
        <v>10.35</v>
      </c>
      <c r="BF3" s="11" t="s">
        <v>82</v>
      </c>
      <c r="BG3" s="12">
        <f t="shared" ref="BG3:BG7" si="1">AP3</f>
        <v>10.35</v>
      </c>
      <c r="BH3" s="11" t="s">
        <v>83</v>
      </c>
      <c r="BI3" s="12">
        <f t="shared" ref="BI3:BI7" si="2">AP3</f>
        <v>10.35</v>
      </c>
      <c r="BJ3" s="11" t="s">
        <v>84</v>
      </c>
      <c r="BK3" s="12">
        <f t="shared" ref="BK3:BK7" si="3">AP3</f>
        <v>10.35</v>
      </c>
      <c r="BL3" s="11" t="s">
        <v>85</v>
      </c>
      <c r="BM3" s="11" t="s">
        <v>86</v>
      </c>
    </row>
    <row r="4" spans="1:65" x14ac:dyDescent="0.3">
      <c r="A4" s="10">
        <v>252697590</v>
      </c>
      <c r="B4" s="10" t="b">
        <v>0</v>
      </c>
      <c r="C4" s="10" t="s">
        <v>92</v>
      </c>
      <c r="D4" s="10" t="s">
        <v>66</v>
      </c>
      <c r="E4" s="10" t="s">
        <v>93</v>
      </c>
      <c r="F4" s="11">
        <v>45659</v>
      </c>
      <c r="G4" s="11">
        <v>45659</v>
      </c>
      <c r="H4" s="11" t="s">
        <v>68</v>
      </c>
      <c r="I4" s="11">
        <v>45660</v>
      </c>
      <c r="J4" s="11">
        <v>45660</v>
      </c>
      <c r="K4" s="11"/>
      <c r="L4" s="11">
        <v>45660</v>
      </c>
      <c r="M4" s="10">
        <v>0</v>
      </c>
      <c r="N4" s="10" t="s">
        <v>69</v>
      </c>
      <c r="O4" s="10" t="s">
        <v>70</v>
      </c>
      <c r="P4" s="10" t="s">
        <v>71</v>
      </c>
      <c r="Q4" s="10"/>
      <c r="R4" s="10">
        <v>60077547</v>
      </c>
      <c r="S4" s="10" t="s">
        <v>72</v>
      </c>
      <c r="T4" s="11">
        <v>21980</v>
      </c>
      <c r="U4" s="10" t="s">
        <v>73</v>
      </c>
      <c r="V4" s="10" t="s">
        <v>74</v>
      </c>
      <c r="W4" s="10">
        <v>983650198</v>
      </c>
      <c r="X4" s="10" t="s">
        <v>94</v>
      </c>
      <c r="Y4" s="10">
        <v>85651</v>
      </c>
      <c r="Z4" s="10">
        <v>1</v>
      </c>
      <c r="AA4" s="10"/>
      <c r="AB4" s="10" t="s">
        <v>95</v>
      </c>
      <c r="AC4" s="10" t="s">
        <v>95</v>
      </c>
      <c r="AD4" s="10" t="s">
        <v>95</v>
      </c>
      <c r="AE4" s="10" t="s">
        <v>77</v>
      </c>
      <c r="AF4" s="10" t="s">
        <v>78</v>
      </c>
      <c r="AG4" s="10" t="s">
        <v>78</v>
      </c>
      <c r="AH4" s="11">
        <v>45679</v>
      </c>
      <c r="AI4" s="11"/>
      <c r="AJ4" s="11"/>
      <c r="AK4" s="10"/>
      <c r="AL4" s="10"/>
      <c r="AM4" s="10">
        <v>0</v>
      </c>
      <c r="AN4" s="10" t="s">
        <v>79</v>
      </c>
      <c r="AO4" s="12">
        <v>6.4</v>
      </c>
      <c r="AP4" s="12">
        <v>4.1900000000000004</v>
      </c>
      <c r="AQ4" s="12">
        <v>0</v>
      </c>
      <c r="AR4" s="12">
        <v>2.21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2.21</v>
      </c>
      <c r="AZ4" s="12">
        <v>0</v>
      </c>
      <c r="BA4" s="12">
        <v>4.1900000000000004</v>
      </c>
      <c r="BB4" s="10" t="s">
        <v>80</v>
      </c>
      <c r="BC4" s="13">
        <v>0.65468749999999998</v>
      </c>
      <c r="BD4" s="11" t="s">
        <v>81</v>
      </c>
      <c r="BE4" s="12">
        <f t="shared" si="0"/>
        <v>4.1900000000000004</v>
      </c>
      <c r="BF4" s="11" t="s">
        <v>82</v>
      </c>
      <c r="BG4" s="12">
        <f t="shared" si="1"/>
        <v>4.1900000000000004</v>
      </c>
      <c r="BH4" s="11" t="s">
        <v>83</v>
      </c>
      <c r="BI4" s="12">
        <f t="shared" si="2"/>
        <v>4.1900000000000004</v>
      </c>
      <c r="BJ4" s="11" t="s">
        <v>84</v>
      </c>
      <c r="BK4" s="12">
        <f t="shared" si="3"/>
        <v>4.1900000000000004</v>
      </c>
      <c r="BL4" s="11" t="s">
        <v>85</v>
      </c>
      <c r="BM4" s="11" t="s">
        <v>86</v>
      </c>
    </row>
    <row r="5" spans="1:65" x14ac:dyDescent="0.3">
      <c r="A5" s="10">
        <v>252699947</v>
      </c>
      <c r="B5" s="10" t="b">
        <v>0</v>
      </c>
      <c r="C5" s="10" t="s">
        <v>96</v>
      </c>
      <c r="D5" s="10" t="s">
        <v>66</v>
      </c>
      <c r="E5" s="10" t="s">
        <v>97</v>
      </c>
      <c r="F5" s="11">
        <v>45659</v>
      </c>
      <c r="G5" s="11">
        <v>45659</v>
      </c>
      <c r="H5" s="11" t="s">
        <v>68</v>
      </c>
      <c r="I5" s="11">
        <v>45660</v>
      </c>
      <c r="J5" s="11">
        <v>45660</v>
      </c>
      <c r="K5" s="11"/>
      <c r="L5" s="11">
        <v>45660</v>
      </c>
      <c r="M5" s="10">
        <v>0</v>
      </c>
      <c r="N5" s="10" t="s">
        <v>69</v>
      </c>
      <c r="O5" s="10" t="s">
        <v>98</v>
      </c>
      <c r="P5" s="10" t="s">
        <v>99</v>
      </c>
      <c r="Q5" s="10"/>
      <c r="R5" s="10">
        <v>60647102</v>
      </c>
      <c r="S5" s="10" t="s">
        <v>100</v>
      </c>
      <c r="T5" s="11">
        <v>14613</v>
      </c>
      <c r="U5" s="10" t="s">
        <v>101</v>
      </c>
      <c r="V5" s="10" t="s">
        <v>74</v>
      </c>
      <c r="W5" s="10">
        <v>101231316100</v>
      </c>
      <c r="X5" s="10" t="s">
        <v>75</v>
      </c>
      <c r="Y5" s="10">
        <v>85025</v>
      </c>
      <c r="Z5" s="10">
        <v>1</v>
      </c>
      <c r="AA5" s="10"/>
      <c r="AB5" s="10" t="s">
        <v>76</v>
      </c>
      <c r="AC5" s="10" t="s">
        <v>76</v>
      </c>
      <c r="AD5" s="10" t="s">
        <v>76</v>
      </c>
      <c r="AE5" s="10" t="s">
        <v>77</v>
      </c>
      <c r="AF5" s="10" t="s">
        <v>78</v>
      </c>
      <c r="AG5" s="10" t="s">
        <v>78</v>
      </c>
      <c r="AH5" s="11">
        <v>45693</v>
      </c>
      <c r="AI5" s="11"/>
      <c r="AJ5" s="11"/>
      <c r="AK5" s="10"/>
      <c r="AL5" s="10"/>
      <c r="AM5" s="10">
        <v>0</v>
      </c>
      <c r="AN5" s="10" t="s">
        <v>79</v>
      </c>
      <c r="AO5" s="12">
        <v>11.66</v>
      </c>
      <c r="AP5" s="12">
        <v>7.61</v>
      </c>
      <c r="AQ5" s="12">
        <v>0</v>
      </c>
      <c r="AR5" s="12">
        <v>4.05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4.05</v>
      </c>
      <c r="AZ5" s="12">
        <v>0</v>
      </c>
      <c r="BA5" s="12">
        <v>7.61</v>
      </c>
      <c r="BB5" s="10" t="s">
        <v>80</v>
      </c>
      <c r="BC5" s="13">
        <v>0.65265866209262435</v>
      </c>
      <c r="BD5" s="11" t="s">
        <v>81</v>
      </c>
      <c r="BE5" s="12">
        <f t="shared" si="0"/>
        <v>7.61</v>
      </c>
      <c r="BF5" s="11" t="s">
        <v>82</v>
      </c>
      <c r="BG5" s="12">
        <f t="shared" si="1"/>
        <v>7.61</v>
      </c>
      <c r="BH5" s="11" t="s">
        <v>83</v>
      </c>
      <c r="BI5" s="12">
        <f t="shared" si="2"/>
        <v>7.61</v>
      </c>
      <c r="BJ5" s="11" t="s">
        <v>84</v>
      </c>
      <c r="BK5" s="12">
        <f t="shared" si="3"/>
        <v>7.61</v>
      </c>
      <c r="BL5" s="11" t="s">
        <v>85</v>
      </c>
      <c r="BM5" s="11" t="s">
        <v>86</v>
      </c>
    </row>
    <row r="6" spans="1:65" x14ac:dyDescent="0.3">
      <c r="A6" s="10">
        <v>252700564</v>
      </c>
      <c r="B6" s="10" t="b">
        <v>0</v>
      </c>
      <c r="C6" s="10" t="s">
        <v>102</v>
      </c>
      <c r="D6" s="10" t="s">
        <v>103</v>
      </c>
      <c r="E6" s="10" t="s">
        <v>104</v>
      </c>
      <c r="F6" s="11">
        <v>45659</v>
      </c>
      <c r="G6" s="11">
        <v>45659</v>
      </c>
      <c r="H6" s="11" t="s">
        <v>68</v>
      </c>
      <c r="I6" s="11">
        <v>45660</v>
      </c>
      <c r="J6" s="11">
        <v>45660</v>
      </c>
      <c r="K6" s="11"/>
      <c r="L6" s="11">
        <v>45701</v>
      </c>
      <c r="M6" s="10">
        <v>0</v>
      </c>
      <c r="N6" s="10" t="s">
        <v>69</v>
      </c>
      <c r="O6" s="10" t="s">
        <v>70</v>
      </c>
      <c r="P6" s="10" t="s">
        <v>71</v>
      </c>
      <c r="Q6" s="10"/>
      <c r="R6" s="10">
        <v>62707988</v>
      </c>
      <c r="S6" s="10" t="s">
        <v>105</v>
      </c>
      <c r="T6" s="11">
        <v>23150</v>
      </c>
      <c r="U6" s="10" t="s">
        <v>106</v>
      </c>
      <c r="V6" s="10" t="s">
        <v>107</v>
      </c>
      <c r="W6" s="10">
        <v>62027</v>
      </c>
      <c r="X6" s="10" t="s">
        <v>108</v>
      </c>
      <c r="Y6" s="10">
        <v>86141</v>
      </c>
      <c r="Z6" s="10">
        <v>1</v>
      </c>
      <c r="AA6" s="10"/>
      <c r="AB6" s="10" t="s">
        <v>109</v>
      </c>
      <c r="AC6" s="10" t="s">
        <v>109</v>
      </c>
      <c r="AD6" s="10" t="s">
        <v>109</v>
      </c>
      <c r="AE6" s="10" t="s">
        <v>77</v>
      </c>
      <c r="AF6" s="10" t="s">
        <v>110</v>
      </c>
      <c r="AG6" s="10" t="s">
        <v>110</v>
      </c>
      <c r="AH6" s="11">
        <v>45728</v>
      </c>
      <c r="AI6" s="11"/>
      <c r="AJ6" s="11"/>
      <c r="AK6" s="10"/>
      <c r="AL6" s="10"/>
      <c r="AM6" s="10">
        <v>0</v>
      </c>
      <c r="AN6" s="10" t="s">
        <v>79</v>
      </c>
      <c r="AO6" s="12">
        <v>19.420000000000002</v>
      </c>
      <c r="AP6" s="12">
        <v>12.69</v>
      </c>
      <c r="AQ6" s="12">
        <v>0</v>
      </c>
      <c r="AR6" s="12">
        <v>6.73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6.73</v>
      </c>
      <c r="AZ6" s="12">
        <v>0</v>
      </c>
      <c r="BA6" s="12">
        <v>12.69</v>
      </c>
      <c r="BB6" s="10" t="s">
        <v>80</v>
      </c>
      <c r="BC6" s="13">
        <v>0.65345005149330582</v>
      </c>
      <c r="BD6" s="11" t="s">
        <v>81</v>
      </c>
      <c r="BE6" s="12">
        <f t="shared" si="0"/>
        <v>12.69</v>
      </c>
      <c r="BF6" s="11" t="s">
        <v>82</v>
      </c>
      <c r="BG6" s="12">
        <f t="shared" si="1"/>
        <v>12.69</v>
      </c>
      <c r="BH6" s="11" t="s">
        <v>83</v>
      </c>
      <c r="BI6" s="12">
        <f t="shared" si="2"/>
        <v>12.69</v>
      </c>
      <c r="BJ6" s="11" t="s">
        <v>84</v>
      </c>
      <c r="BK6" s="12">
        <f t="shared" si="3"/>
        <v>12.69</v>
      </c>
      <c r="BL6" s="11" t="s">
        <v>85</v>
      </c>
      <c r="BM6" s="11" t="s">
        <v>86</v>
      </c>
    </row>
    <row r="7" spans="1:65" x14ac:dyDescent="0.3">
      <c r="A7" s="10">
        <v>252700658</v>
      </c>
      <c r="B7" s="10" t="b">
        <v>0</v>
      </c>
      <c r="C7" s="10" t="s">
        <v>111</v>
      </c>
      <c r="D7" s="10" t="s">
        <v>66</v>
      </c>
      <c r="E7" s="10" t="s">
        <v>112</v>
      </c>
      <c r="F7" s="11">
        <v>45659</v>
      </c>
      <c r="G7" s="11">
        <v>45659</v>
      </c>
      <c r="H7" s="11" t="s">
        <v>68</v>
      </c>
      <c r="I7" s="11">
        <v>45660</v>
      </c>
      <c r="J7" s="11">
        <v>45660</v>
      </c>
      <c r="K7" s="11"/>
      <c r="L7" s="11">
        <v>45660</v>
      </c>
      <c r="M7" s="10">
        <v>0</v>
      </c>
      <c r="N7" s="10" t="s">
        <v>69</v>
      </c>
      <c r="O7" s="10" t="s">
        <v>98</v>
      </c>
      <c r="P7" s="10" t="s">
        <v>99</v>
      </c>
      <c r="Q7" s="10"/>
      <c r="R7" s="10">
        <v>60647102</v>
      </c>
      <c r="S7" s="10" t="s">
        <v>100</v>
      </c>
      <c r="T7" s="11">
        <v>14613</v>
      </c>
      <c r="U7" s="10" t="s">
        <v>101</v>
      </c>
      <c r="V7" s="10" t="s">
        <v>74</v>
      </c>
      <c r="W7" s="10">
        <v>101231316100</v>
      </c>
      <c r="X7" s="10" t="s">
        <v>113</v>
      </c>
      <c r="Y7" s="10">
        <v>84134</v>
      </c>
      <c r="Z7" s="10">
        <v>1</v>
      </c>
      <c r="AA7" s="10"/>
      <c r="AB7" s="10" t="s">
        <v>114</v>
      </c>
      <c r="AC7" s="10" t="s">
        <v>115</v>
      </c>
      <c r="AD7" s="10" t="s">
        <v>115</v>
      </c>
      <c r="AE7" s="10" t="s">
        <v>77</v>
      </c>
      <c r="AF7" s="10" t="s">
        <v>116</v>
      </c>
      <c r="AG7" s="10" t="s">
        <v>116</v>
      </c>
      <c r="AH7" s="11">
        <v>45693</v>
      </c>
      <c r="AI7" s="11"/>
      <c r="AJ7" s="11"/>
      <c r="AK7" s="10"/>
      <c r="AL7" s="10"/>
      <c r="AM7" s="10" t="s">
        <v>117</v>
      </c>
      <c r="AN7" s="10" t="s">
        <v>79</v>
      </c>
      <c r="AO7" s="12">
        <v>77.91</v>
      </c>
      <c r="AP7" s="12">
        <v>50.91</v>
      </c>
      <c r="AQ7" s="12">
        <v>0</v>
      </c>
      <c r="AR7" s="12">
        <v>27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27</v>
      </c>
      <c r="AZ7" s="12">
        <v>0</v>
      </c>
      <c r="BA7" s="12">
        <v>50.91</v>
      </c>
      <c r="BB7" s="10" t="s">
        <v>80</v>
      </c>
      <c r="BC7" s="13">
        <v>0.65344628417404693</v>
      </c>
      <c r="BD7" s="11" t="s">
        <v>81</v>
      </c>
      <c r="BE7" s="12">
        <f t="shared" si="0"/>
        <v>50.91</v>
      </c>
      <c r="BF7" s="11" t="s">
        <v>82</v>
      </c>
      <c r="BG7" s="12">
        <f t="shared" si="1"/>
        <v>50.91</v>
      </c>
      <c r="BH7" s="11" t="s">
        <v>83</v>
      </c>
      <c r="BI7" s="12">
        <f t="shared" si="2"/>
        <v>50.91</v>
      </c>
      <c r="BJ7" s="11" t="s">
        <v>84</v>
      </c>
      <c r="BK7" s="12">
        <f t="shared" si="3"/>
        <v>50.91</v>
      </c>
      <c r="BL7" s="11" t="s">
        <v>85</v>
      </c>
      <c r="BM7" s="11" t="s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93C3BE268CA44B6AD3A118A79FAE5" ma:contentTypeVersion="22" ma:contentTypeDescription="Create a new document." ma:contentTypeScope="" ma:versionID="067c28020608bf9d08c3d01456d4baeb">
  <xsd:schema xmlns:xsd="http://www.w3.org/2001/XMLSchema" xmlns:xs="http://www.w3.org/2001/XMLSchema" xmlns:p="http://schemas.microsoft.com/office/2006/metadata/properties" xmlns:ns1="http://schemas.microsoft.com/sharepoint/v3" xmlns:ns2="29647c09-166d-45f0-9876-cca5ecd40e72" xmlns:ns3="1bbcfd5a-faa0-4eef-9401-45f7256f69f1" targetNamespace="http://schemas.microsoft.com/office/2006/metadata/properties" ma:root="true" ma:fieldsID="6e8195766451f614fa091518ca715f1f" ns1:_="" ns2:_="" ns3:_="">
    <xsd:import namespace="http://schemas.microsoft.com/sharepoint/v3"/>
    <xsd:import namespace="29647c09-166d-45f0-9876-cca5ecd40e72"/>
    <xsd:import namespace="1bbcfd5a-faa0-4eef-9401-45f7256f6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Location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47c09-166d-45f0-9876-cca5ecd40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d508ed-184a-4c22-aa09-c6778b339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_ApprovalAssignedTo" ma:index="26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7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8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9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fd5a-faa0-4eef-9401-45f7256f6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1d81b71-aea9-4f75-91ab-dd65eb73e3b7}" ma:internalName="TaxCatchAll" ma:showField="CatchAllData" ma:web="1bbcfd5a-faa0-4eef-9401-45f7256f6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9647c09-166d-45f0-9876-cca5ecd40e72">
      <Terms xmlns="http://schemas.microsoft.com/office/infopath/2007/PartnerControls"/>
    </lcf76f155ced4ddcb4097134ff3c332f>
    <_ip_UnifiedCompliancePolicyProperties xmlns="http://schemas.microsoft.com/sharepoint/v3" xsi:nil="true"/>
    <TaxCatchAll xmlns="1bbcfd5a-faa0-4eef-9401-45f7256f69f1" xsi:nil="true"/>
    <_ApprovalAssignedTo xmlns="29647c09-166d-45f0-9876-cca5ecd40e72">
      <UserInfo>
        <DisplayName/>
        <AccountId xsi:nil="true"/>
        <AccountType/>
      </UserInfo>
    </_ApprovalAssignedTo>
    <_ApprovalRespondedBy xmlns="29647c09-166d-45f0-9876-cca5ecd40e72">
      <UserInfo>
        <DisplayName/>
        <AccountId xsi:nil="true"/>
        <AccountType/>
      </UserInfo>
    </_ApprovalRespondedBy>
    <_ApprovalStatus xmlns="29647c09-166d-45f0-9876-cca5ecd40e72">0</_ApprovalStatus>
  </documentManagement>
</p:properties>
</file>

<file path=customXml/itemProps1.xml><?xml version="1.0" encoding="utf-8"?>
<ds:datastoreItem xmlns:ds="http://schemas.openxmlformats.org/officeDocument/2006/customXml" ds:itemID="{391AB2DF-56C3-4F5F-B0D1-E25BED89F390}"/>
</file>

<file path=customXml/itemProps2.xml><?xml version="1.0" encoding="utf-8"?>
<ds:datastoreItem xmlns:ds="http://schemas.openxmlformats.org/officeDocument/2006/customXml" ds:itemID="{1C00BD89-7788-4EE0-A781-6DDF75AE6204}"/>
</file>

<file path=customXml/itemProps3.xml><?xml version="1.0" encoding="utf-8"?>
<ds:datastoreItem xmlns:ds="http://schemas.openxmlformats.org/officeDocument/2006/customXml" ds:itemID="{D586AC6E-1742-44EC-A5E2-230266AF0C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 Level File</vt:lpstr>
      <vt:lpstr>LIMS Data</vt:lpstr>
      <vt:lpstr>Claim Level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Jainudeen</dc:creator>
  <cp:lastModifiedBy>Abdul Jainudeen</cp:lastModifiedBy>
  <dcterms:created xsi:type="dcterms:W3CDTF">2026-10-22T05:34:49Z</dcterms:created>
  <dcterms:modified xsi:type="dcterms:W3CDTF">2026-10-22T05:38:15Z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0x0101007A893C3BE268CA44B6AD3A118A79FAE5</vt:lpwstr>
  </property>
</Properties>
</file>