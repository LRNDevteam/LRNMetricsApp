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fessional\LRN-2\Logics\"/>
    </mc:Choice>
  </mc:AlternateContent>
  <xr:revisionPtr revIDLastSave="0" documentId="13_ncr:1_{9B797199-26A6-4628-9491-56FD72D584D2}" xr6:coauthVersionLast="47" xr6:coauthVersionMax="47" xr10:uidLastSave="{00000000-0000-0000-0000-000000000000}"/>
  <bookViews>
    <workbookView xWindow="-108" yWindow="-108" windowWidth="23256" windowHeight="12456" xr2:uid="{C682095B-8294-4E1C-898F-010FFC753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2" i="1" l="1"/>
  <c r="L12" i="1"/>
  <c r="Z11" i="1"/>
  <c r="L11" i="1"/>
  <c r="Z10" i="1"/>
  <c r="L10" i="1"/>
  <c r="Z9" i="1"/>
  <c r="L9" i="1"/>
  <c r="Z8" i="1"/>
  <c r="L8" i="1"/>
  <c r="Z7" i="1"/>
  <c r="L7" i="1"/>
  <c r="Z6" i="1"/>
  <c r="L6" i="1"/>
  <c r="Z5" i="1"/>
  <c r="L5" i="1"/>
</calcChain>
</file>

<file path=xl/sharedStrings.xml><?xml version="1.0" encoding="utf-8"?>
<sst xmlns="http://schemas.openxmlformats.org/spreadsheetml/2006/main" count="122" uniqueCount="63">
  <si>
    <t>#</t>
  </si>
  <si>
    <t>Denial Codes</t>
  </si>
  <si>
    <t>Descriptions</t>
  </si>
  <si>
    <t># of Denial</t>
  </si>
  <si>
    <t>Total Balance ($)</t>
  </si>
  <si>
    <t>Highest $ Impact - Insurance</t>
  </si>
  <si>
    <t>Ins. Balance ($)</t>
  </si>
  <si>
    <t>$ Impact (%)</t>
  </si>
  <si>
    <t>Observation</t>
  </si>
  <si>
    <t>Data</t>
  </si>
  <si>
    <t>Category</t>
  </si>
  <si>
    <t>Action</t>
  </si>
  <si>
    <t>Feedback / Response</t>
  </si>
  <si>
    <t>Responsibility</t>
  </si>
  <si>
    <t>Discussion Date</t>
  </si>
  <si>
    <t>ETA</t>
  </si>
  <si>
    <t>Closed Date</t>
  </si>
  <si>
    <t>B7</t>
  </si>
  <si>
    <t>This provider was not certified/eligible to be paid for this procedure/service on this date of service</t>
  </si>
  <si>
    <t>WELLPOINT - AMERIGROUP TX</t>
  </si>
  <si>
    <t xml:space="preserve">• Per reviewing the The most number claims denied are for Pathology. </t>
  </si>
  <si>
    <t>Link</t>
  </si>
  <si>
    <t>Review</t>
  </si>
  <si>
    <t>• Request the AR team to call the payer and verify why provider is deemed not eligible for payment</t>
  </si>
  <si>
    <r>
      <rPr>
        <b/>
        <sz val="10"/>
        <color theme="1"/>
        <rFont val="Calibri"/>
        <family val="2"/>
      </rPr>
      <t>Client Feedback -</t>
    </r>
    <r>
      <rPr>
        <sz val="10"/>
        <color theme="1"/>
        <rFont val="Calibri"/>
        <family val="2"/>
      </rPr>
      <t xml:space="preserve"> WV Pay hold</t>
    </r>
  </si>
  <si>
    <t>Tarshann</t>
  </si>
  <si>
    <t>-</t>
  </si>
  <si>
    <t>An attachment/other documentation is required to adjudicate this claim/service.</t>
  </si>
  <si>
    <t>UHC OHIO MEDICAID  COMMUNITY PLAN</t>
  </si>
  <si>
    <t>•  Per review all of denied claims are for WH Panel/Male STI Panel.</t>
  </si>
  <si>
    <t>Appeal / MR</t>
  </si>
  <si>
    <t>•  Submit the Patients Medical Records to the insurance company via the appropriate channels.(Eg: Portal, Fax)</t>
  </si>
  <si>
    <t>This is a non-covered service because it is a routine/preventive exam or a diagnostic/screening procedure done in conjunction with a routine/preventive exam</t>
  </si>
  <si>
    <t>TENNESSEE MEDICARE</t>
  </si>
  <si>
    <t>•  Submit a formal appeal/reconsideration addressing each denial reason.</t>
  </si>
  <si>
    <t>Payer deems the information submitted does not support this level of service.</t>
  </si>
  <si>
    <t>UNITED HEALTHCARE</t>
  </si>
  <si>
    <t>This service/equipment/drug is not covered under the patient's current benefit plan</t>
  </si>
  <si>
    <t>VIRGINIA BLUE CROSS</t>
  </si>
  <si>
    <t>•  Per review majority of denied claims are for Toxicology panel.</t>
  </si>
  <si>
    <t>• Check Eligibilty and see whether there is another active coverage for the Patient.
• Request the AR team to contact the payor and verify the exact reason of the denial and if it is a Diagnosis issue rebill the claim with the Correct Diagnosis code.</t>
  </si>
  <si>
    <r>
      <t xml:space="preserve">FVI, Z4U claims - processed as OON
</t>
    </r>
    <r>
      <rPr>
        <b/>
        <sz val="10"/>
        <color theme="1"/>
        <rFont val="Calibri"/>
        <family val="2"/>
      </rPr>
      <t xml:space="preserve">Client Action - </t>
    </r>
    <r>
      <rPr>
        <sz val="10"/>
        <color theme="1"/>
        <rFont val="Calibri"/>
        <family val="2"/>
      </rPr>
      <t xml:space="preserve">we are working with our network manager to fix this
</t>
    </r>
    <r>
      <rPr>
        <b/>
        <sz val="10"/>
        <color theme="1"/>
        <rFont val="Calibri"/>
        <family val="2"/>
      </rPr>
      <t>LRN Feedback -</t>
    </r>
    <r>
      <rPr>
        <sz val="10"/>
        <color theme="1"/>
        <rFont val="Calibri"/>
        <family val="2"/>
      </rPr>
      <t xml:space="preserve"> Pending response from client.</t>
    </r>
  </si>
  <si>
    <t>This care may be covered by another payer per coordination of benefits.</t>
  </si>
  <si>
    <t>MOUNTAIN STATE BLUE SHIELD WV FEDERAL EMPLOYEE PROGRAM</t>
  </si>
  <si>
    <t>•  36 Patients Info Required</t>
  </si>
  <si>
    <t>Review/ Reprocess</t>
  </si>
  <si>
    <t>•  Use online portals/ Insurance call to identify primary payer &amp; rebill the claim.
•  If a primary payer cannot be identified need to be escalated to CIP.</t>
  </si>
  <si>
    <r>
      <t xml:space="preserve">COB Denials. Problem: BCBS required patients to call them and update their COB. Patient has many payers as primary.
</t>
    </r>
    <r>
      <rPr>
        <b/>
        <sz val="10"/>
        <color theme="1"/>
        <rFont val="Calibri"/>
        <family val="2"/>
      </rPr>
      <t>Client's process:</t>
    </r>
    <r>
      <rPr>
        <sz val="10"/>
        <color theme="1"/>
        <rFont val="Calibri"/>
        <family val="2"/>
      </rPr>
      <t xml:space="preserve"> Place the claim on patient calls, Jay calls and asks the patient to update.
</t>
    </r>
    <r>
      <rPr>
        <b/>
        <sz val="10"/>
        <color theme="1"/>
        <rFont val="Calibri"/>
        <family val="2"/>
      </rPr>
      <t xml:space="preserve">Client's Process Weaknesses: 
</t>
    </r>
    <r>
      <rPr>
        <sz val="10"/>
        <color theme="1"/>
        <rFont val="Calibri"/>
        <family val="2"/>
      </rPr>
      <t xml:space="preserve">1) It takes several months to reach the patient, many calls go to VM/no response.
2) Even when pt confirms to call or called &gt; no result.
3) It takes the AR team a long time to return to the claim and send for reprocessing.
</t>
    </r>
    <r>
      <rPr>
        <b/>
        <sz val="10"/>
        <color theme="1"/>
        <rFont val="Calibri"/>
        <family val="2"/>
      </rPr>
      <t>LRN Feedback -</t>
    </r>
    <r>
      <rPr>
        <sz val="10"/>
        <color theme="1"/>
        <rFont val="Calibri"/>
        <family val="2"/>
      </rPr>
      <t xml:space="preserve"> According to Clients feedback, claims has been worked and remaining is pending to be cleared from the AR.</t>
    </r>
  </si>
  <si>
    <t>Claim/service lacks information or has submission/billing error(s).</t>
  </si>
  <si>
    <t>• As per reviewing the claims unable to identify as why claims denied as no remark code was available.
•Majority of the denials belong to WH Panel/Male STI Panel claims.</t>
  </si>
  <si>
    <t>• Request the AR team to call the payer and find out why these claims denied and fix the claims accordingly.</t>
  </si>
  <si>
    <t>Precertification/authorization/notification/pre-treatment absent.</t>
  </si>
  <si>
    <t>HIGHMARK BCBS DELAWARE (MEDICAID PLAN)</t>
  </si>
  <si>
    <t xml:space="preserve">
• Majority of the denials belong to Toxicology claims
• As per checking All services for out-of-network providers require PA, except emergency care, out-of-area urgent care, or out-of-area dialysis.</t>
  </si>
  <si>
    <t>• Check in LIMS if the pre-authorization number is avilable in the records.
• Call and verify if the payer approves retro authorization. If not, submit an appeal through the appropriate channel.
• Suggesting to Adjust off if no retro authorization can be applied with Payer.</t>
  </si>
  <si>
    <r>
      <t xml:space="preserve">All claims have denied dates before AP contract eff date 03/12/2026 - okay to adjust
</t>
    </r>
    <r>
      <rPr>
        <b/>
        <sz val="10"/>
        <color theme="1"/>
        <rFont val="Calibri"/>
        <family val="2"/>
      </rPr>
      <t>Client Action -</t>
    </r>
    <r>
      <rPr>
        <sz val="10"/>
        <color theme="1"/>
        <rFont val="Calibri"/>
        <family val="2"/>
      </rPr>
      <t xml:space="preserve"> write-off
</t>
    </r>
    <r>
      <rPr>
        <b/>
        <sz val="10"/>
        <color theme="1"/>
        <rFont val="Calibri"/>
        <family val="2"/>
      </rPr>
      <t>LRN Feedback -</t>
    </r>
    <r>
      <rPr>
        <sz val="10"/>
        <color theme="1"/>
        <rFont val="Calibri"/>
        <family val="2"/>
      </rPr>
      <t xml:space="preserve">  As of today Insurance balance still remaining without being written off.</t>
    </r>
  </si>
  <si>
    <t>Non Editable</t>
  </si>
  <si>
    <t>Editable</t>
  </si>
  <si>
    <t>Remove</t>
  </si>
  <si>
    <t>Status</t>
  </si>
  <si>
    <t>Yet to Discuss</t>
  </si>
  <si>
    <t>Closed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</si>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</sst>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833C0C"/>
      <name val="Calibri"/>
      <family val="2"/>
    </font>
    <font>
      <b/>
      <sz val="11"/>
      <color theme="9" tint="-0.499984740745262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D09E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75623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34998626667073579"/>
      </bottom>
      <diagonal/>
    </border>
    <border>
      <left/>
      <right/>
      <top style="thin">
        <color theme="0" tint="-0.249977111117893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4" fillId="3" borderId="0" applyNumberFormat="0" applyBorder="0" applyAlignment="0" applyProtection="0"/>
    <xf numFmtId="9" fontId="1" fillId="0" borderId="0" applyFont="0" applyFill="0" applyBorder="0" applyAlignment="0" applyProtection="0"/>
    <xf numFmtId="0" fontId="10" fillId="0" borderId="0">
      <alignment horizontal="left" vertical="top"/>
    </xf>
    <xf numFmtId="0" fontId="1" fillId="0" borderId="0"/>
    <xf numFmtId="0" fontId="4" fillId="3" borderId="0" applyNumberFormat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6" fillId="4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 wrapText="1"/>
    </xf>
    <xf numFmtId="44" fontId="6" fillId="4" borderId="1" xfId="4" applyFont="1" applyFill="1" applyBorder="1" applyAlignment="1">
      <alignment horizontal="center" vertical="center" wrapText="1"/>
    </xf>
    <xf numFmtId="0" fontId="6" fillId="5" borderId="1" xfId="3" applyFont="1" applyFill="1" applyBorder="1" applyAlignment="1">
      <alignment horizontal="center" vertical="center" wrapText="1"/>
    </xf>
    <xf numFmtId="44" fontId="6" fillId="5" borderId="1" xfId="4" applyFont="1" applyFill="1" applyBorder="1" applyAlignment="1">
      <alignment horizontal="center" vertical="center" wrapText="1"/>
    </xf>
    <xf numFmtId="42" fontId="6" fillId="6" borderId="1" xfId="3" applyNumberFormat="1" applyFont="1" applyFill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6" fillId="4" borderId="1" xfId="5" applyFont="1" applyFill="1" applyBorder="1" applyAlignment="1">
      <alignment horizontal="center" vertical="center" wrapText="1"/>
    </xf>
    <xf numFmtId="0" fontId="6" fillId="4" borderId="1" xfId="5" applyFont="1" applyFill="1" applyBorder="1" applyAlignment="1">
      <alignment horizontal="center" vertical="center" wrapText="1"/>
    </xf>
    <xf numFmtId="0" fontId="7" fillId="7" borderId="1" xfId="3" applyFont="1" applyFill="1" applyBorder="1" applyAlignment="1">
      <alignment horizontal="center" vertical="center"/>
    </xf>
    <xf numFmtId="0" fontId="8" fillId="0" borderId="1" xfId="3" quotePrefix="1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/>
    </xf>
    <xf numFmtId="42" fontId="8" fillId="0" borderId="1" xfId="1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9" fontId="9" fillId="0" borderId="4" xfId="6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 wrapText="1"/>
    </xf>
    <xf numFmtId="0" fontId="5" fillId="0" borderId="1" xfId="2" quotePrefix="1" applyBorder="1" applyAlignment="1">
      <alignment horizontal="center" vertical="center" wrapText="1"/>
    </xf>
    <xf numFmtId="0" fontId="7" fillId="8" borderId="5" xfId="3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16" fontId="8" fillId="0" borderId="1" xfId="3" applyNumberFormat="1" applyFont="1" applyBorder="1" applyAlignment="1">
      <alignment horizontal="center" vertical="center" wrapText="1"/>
    </xf>
    <xf numFmtId="16" fontId="8" fillId="0" borderId="1" xfId="7" applyNumberFormat="1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42" fontId="8" fillId="0" borderId="4" xfId="1" applyNumberFormat="1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9" fillId="0" borderId="4" xfId="3" applyFont="1" applyBorder="1" applyAlignment="1">
      <alignment horizontal="left" vertical="center" wrapText="1"/>
    </xf>
    <xf numFmtId="0" fontId="9" fillId="0" borderId="6" xfId="3" applyFont="1" applyBorder="1" applyAlignment="1">
      <alignment horizontal="left" vertical="center" wrapText="1"/>
    </xf>
    <xf numFmtId="0" fontId="7" fillId="9" borderId="3" xfId="8" applyFont="1" applyFill="1" applyBorder="1" applyAlignment="1">
      <alignment horizontal="center" vertical="center" wrapText="1"/>
    </xf>
    <xf numFmtId="0" fontId="11" fillId="0" borderId="8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/>
    </xf>
    <xf numFmtId="9" fontId="9" fillId="0" borderId="1" xfId="6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 wrapText="1"/>
    </xf>
    <xf numFmtId="0" fontId="9" fillId="0" borderId="12" xfId="3" applyFont="1" applyBorder="1" applyAlignment="1">
      <alignment horizontal="center" vertical="center" wrapText="1"/>
    </xf>
    <xf numFmtId="0" fontId="9" fillId="0" borderId="13" xfId="3" applyFont="1" applyBorder="1" applyAlignment="1">
      <alignment horizontal="center" vertical="center" wrapText="1"/>
    </xf>
    <xf numFmtId="0" fontId="8" fillId="0" borderId="2" xfId="8" applyFont="1" applyBorder="1" applyAlignment="1">
      <alignment horizontal="left" vertical="center" wrapText="1"/>
    </xf>
    <xf numFmtId="0" fontId="8" fillId="0" borderId="14" xfId="8" applyFont="1" applyBorder="1" applyAlignment="1">
      <alignment horizontal="left" vertical="center" wrapText="1"/>
    </xf>
    <xf numFmtId="0" fontId="8" fillId="0" borderId="3" xfId="8" applyFont="1" applyBorder="1" applyAlignment="1">
      <alignment horizontal="left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7" fillId="10" borderId="1" xfId="3" applyFont="1" applyFill="1" applyBorder="1" applyAlignment="1">
      <alignment horizontal="center" vertical="center" wrapText="1"/>
    </xf>
    <xf numFmtId="0" fontId="7" fillId="7" borderId="4" xfId="3" applyFont="1" applyFill="1" applyBorder="1" applyAlignment="1">
      <alignment horizontal="center" vertical="center"/>
    </xf>
    <xf numFmtId="0" fontId="7" fillId="8" borderId="10" xfId="3" applyFont="1" applyFill="1" applyBorder="1" applyAlignment="1">
      <alignment horizontal="center" vertical="center" wrapText="1"/>
    </xf>
    <xf numFmtId="0" fontId="8" fillId="0" borderId="6" xfId="3" applyFont="1" applyBorder="1" applyAlignment="1">
      <alignment horizontal="left" vertical="center" wrapText="1"/>
    </xf>
    <xf numFmtId="0" fontId="8" fillId="0" borderId="5" xfId="3" applyFont="1" applyBorder="1" applyAlignment="1">
      <alignment horizontal="left" vertical="center" wrapText="1"/>
    </xf>
    <xf numFmtId="0" fontId="8" fillId="0" borderId="2" xfId="3" applyFont="1" applyBorder="1" applyAlignment="1">
      <alignment horizontal="left" vertical="center" wrapText="1"/>
    </xf>
    <xf numFmtId="0" fontId="8" fillId="0" borderId="3" xfId="3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8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12" fillId="11" borderId="17" xfId="9" applyFont="1" applyFill="1" applyBorder="1" applyAlignment="1">
      <alignment horizontal="center" vertical="center" wrapText="1"/>
    </xf>
    <xf numFmtId="0" fontId="13" fillId="12" borderId="16" xfId="1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/>
    </xf>
    <xf numFmtId="0" fontId="15" fillId="13" borderId="16" xfId="0" applyFont="1" applyFill="1" applyBorder="1" applyAlignment="1">
      <alignment horizontal="center"/>
    </xf>
  </cellXfs>
  <cellStyles count="11">
    <cellStyle name="Accent3 2" xfId="5" xr:uid="{F95F02D7-8182-4EE1-B0A1-FC602BE8AF55}"/>
    <cellStyle name="Accent3 2 2" xfId="9" xr:uid="{DCF9A441-2142-4C1B-A403-C12A182D037E}"/>
    <cellStyle name="Currency" xfId="1" builtinId="4"/>
    <cellStyle name="Currency 2 2" xfId="4" xr:uid="{DAD5B6E0-7637-4891-854E-723FA773B7C7}"/>
    <cellStyle name="Hyperlink" xfId="2" builtinId="8"/>
    <cellStyle name="Neutral 2 2" xfId="10" xr:uid="{DCEC9F0A-482E-48EB-AB13-1521E110B7BE}"/>
    <cellStyle name="Normal" xfId="0" builtinId="0"/>
    <cellStyle name="Normal 2 2 2" xfId="8" xr:uid="{1149F09C-427C-4932-8BF5-895320639F2C}"/>
    <cellStyle name="Normal 3 2" xfId="3" xr:uid="{3368D9C9-CCB2-42B7-A67E-98BD31B7C1E0}"/>
    <cellStyle name="Normal 4" xfId="7" xr:uid="{EA3EA4D0-5884-406A-8530-A1D60A00C2B4}"/>
    <cellStyle name="Percent 2 2" xfId="6" xr:uid="{DB276AFE-831B-41DE-B447-5F964249D26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134F-2549-478C-88EC-8B973335DB82}">
  <dimension ref="B3:AB12"/>
  <sheetViews>
    <sheetView showGridLines="0" tabSelected="1" workbookViewId="0">
      <selection activeCell="B4" sqref="B4"/>
    </sheetView>
  </sheetViews>
  <sheetFormatPr defaultRowHeight="14.4" x14ac:dyDescent="0.3"/>
  <cols>
    <col min="2" max="2" width="9" customWidth="1"/>
    <col min="3" max="3" width="21.88671875" customWidth="1"/>
    <col min="4" max="4" width="13.44140625" customWidth="1"/>
    <col min="5" max="5" width="40.88671875" customWidth="1"/>
    <col min="6" max="6" width="24.33203125" customWidth="1"/>
    <col min="7" max="7" width="18.33203125" bestFit="1" customWidth="1"/>
    <col min="8" max="8" width="24.88671875" bestFit="1" customWidth="1"/>
    <col min="9" max="9" width="17.44140625" bestFit="1" customWidth="1"/>
    <col min="10" max="10" width="24.88671875" bestFit="1" customWidth="1"/>
    <col min="11" max="11" width="17.44140625" bestFit="1" customWidth="1"/>
    <col min="12" max="12" width="24.88671875" bestFit="1" customWidth="1"/>
    <col min="13" max="13" width="17.44140625" bestFit="1" customWidth="1"/>
    <col min="14" max="14" width="24.88671875" bestFit="1" customWidth="1"/>
    <col min="15" max="15" width="17.44140625" bestFit="1" customWidth="1"/>
    <col min="16" max="16" width="24.88671875" bestFit="1" customWidth="1"/>
    <col min="17" max="17" width="17.44140625" bestFit="1" customWidth="1"/>
    <col min="18" max="18" width="24.88671875" bestFit="1" customWidth="1"/>
    <col min="19" max="19" width="17.44140625" bestFit="1" customWidth="1"/>
    <col min="20" max="20" width="24.88671875" bestFit="1" customWidth="1"/>
    <col min="21" max="21" width="16" customWidth="1"/>
    <col min="22" max="22" width="24.88671875" bestFit="1" customWidth="1"/>
    <col min="23" max="23" width="17.44140625" bestFit="1" customWidth="1"/>
    <col min="24" max="24" width="24.88671875" bestFit="1" customWidth="1"/>
    <col min="25" max="25" width="21.88671875" bestFit="1" customWidth="1"/>
    <col min="26" max="26" width="29.44140625" bestFit="1" customWidth="1"/>
    <col min="27" max="27" width="17.44140625" bestFit="1" customWidth="1"/>
    <col min="28" max="28" width="15.109375" customWidth="1"/>
  </cols>
  <sheetData>
    <row r="3" spans="2:28" s="53" customFormat="1" x14ac:dyDescent="0.3">
      <c r="C3" s="55" t="s">
        <v>56</v>
      </c>
      <c r="D3" s="54" t="s">
        <v>57</v>
      </c>
      <c r="E3" s="54"/>
      <c r="F3" s="56" t="s">
        <v>57</v>
      </c>
      <c r="G3" s="56" t="s">
        <v>57</v>
      </c>
      <c r="H3" s="54" t="s">
        <v>56</v>
      </c>
      <c r="I3" s="54"/>
      <c r="J3" s="54"/>
      <c r="K3" s="56" t="s">
        <v>57</v>
      </c>
      <c r="L3" s="56" t="s">
        <v>57</v>
      </c>
      <c r="M3" s="54" t="s">
        <v>57</v>
      </c>
      <c r="N3" s="54"/>
      <c r="O3" s="54"/>
      <c r="P3" s="57" t="s">
        <v>58</v>
      </c>
      <c r="Q3" s="56" t="s">
        <v>57</v>
      </c>
      <c r="R3" s="54" t="s">
        <v>57</v>
      </c>
      <c r="S3" s="54"/>
      <c r="T3" s="54"/>
      <c r="U3" s="54"/>
      <c r="V3" s="54" t="s">
        <v>57</v>
      </c>
      <c r="W3" s="54"/>
      <c r="X3" s="56" t="s">
        <v>57</v>
      </c>
      <c r="Y3" s="56" t="s">
        <v>57</v>
      </c>
      <c r="Z3" s="56" t="s">
        <v>57</v>
      </c>
      <c r="AA3" s="56" t="s">
        <v>57</v>
      </c>
      <c r="AB3" s="55" t="s">
        <v>57</v>
      </c>
    </row>
    <row r="4" spans="2:28" x14ac:dyDescent="0.3">
      <c r="B4" s="1" t="s">
        <v>0</v>
      </c>
      <c r="C4" s="1" t="s">
        <v>1</v>
      </c>
      <c r="D4" s="2" t="s">
        <v>2</v>
      </c>
      <c r="E4" s="2"/>
      <c r="F4" s="1" t="s">
        <v>3</v>
      </c>
      <c r="G4" s="3" t="s">
        <v>4</v>
      </c>
      <c r="H4" s="4" t="s">
        <v>5</v>
      </c>
      <c r="I4" s="4"/>
      <c r="J4" s="4"/>
      <c r="K4" s="5" t="s">
        <v>6</v>
      </c>
      <c r="L4" s="5" t="s">
        <v>7</v>
      </c>
      <c r="M4" s="2" t="s">
        <v>8</v>
      </c>
      <c r="N4" s="2"/>
      <c r="O4" s="2"/>
      <c r="P4" s="1" t="s">
        <v>9</v>
      </c>
      <c r="Q4" s="6" t="s">
        <v>10</v>
      </c>
      <c r="R4" s="7" t="s">
        <v>11</v>
      </c>
      <c r="S4" s="7"/>
      <c r="T4" s="7"/>
      <c r="U4" s="7"/>
      <c r="V4" s="8" t="s">
        <v>12</v>
      </c>
      <c r="W4" s="8"/>
      <c r="X4" s="9" t="s">
        <v>13</v>
      </c>
      <c r="Y4" s="9" t="s">
        <v>14</v>
      </c>
      <c r="Z4" s="9" t="s">
        <v>15</v>
      </c>
      <c r="AA4" s="9" t="s">
        <v>16</v>
      </c>
      <c r="AB4" s="60" t="s">
        <v>59</v>
      </c>
    </row>
    <row r="5" spans="2:28" x14ac:dyDescent="0.3">
      <c r="B5" s="10">
        <v>1</v>
      </c>
      <c r="C5" s="11" t="s">
        <v>17</v>
      </c>
      <c r="D5" s="51" t="s">
        <v>18</v>
      </c>
      <c r="E5" s="52"/>
      <c r="F5" s="14">
        <v>137</v>
      </c>
      <c r="G5" s="15">
        <v>113243.17000000013</v>
      </c>
      <c r="H5" s="16" t="s">
        <v>19</v>
      </c>
      <c r="I5" s="16" t="s">
        <v>19</v>
      </c>
      <c r="J5" s="16" t="s">
        <v>19</v>
      </c>
      <c r="K5" s="15">
        <v>90944.880000000121</v>
      </c>
      <c r="L5" s="17">
        <f>K5/G5</f>
        <v>0.80309373183389354</v>
      </c>
      <c r="M5" s="18" t="s">
        <v>20</v>
      </c>
      <c r="N5" s="18"/>
      <c r="O5" s="18"/>
      <c r="P5" s="19" t="s">
        <v>21</v>
      </c>
      <c r="Q5" s="20" t="s">
        <v>22</v>
      </c>
      <c r="R5" s="21" t="s">
        <v>23</v>
      </c>
      <c r="S5" s="21"/>
      <c r="T5" s="21"/>
      <c r="U5" s="21"/>
      <c r="V5" s="16" t="s">
        <v>24</v>
      </c>
      <c r="W5" s="16"/>
      <c r="X5" s="22" t="s">
        <v>25</v>
      </c>
      <c r="Y5" s="23">
        <v>46297</v>
      </c>
      <c r="Z5" s="23">
        <f t="shared" ref="Z5:Z12" si="0">Y5+7</f>
        <v>46304</v>
      </c>
      <c r="AA5" s="58" t="s">
        <v>26</v>
      </c>
      <c r="AB5" s="61" t="s">
        <v>60</v>
      </c>
    </row>
    <row r="6" spans="2:28" x14ac:dyDescent="0.3">
      <c r="B6" s="10">
        <v>2</v>
      </c>
      <c r="C6" s="14">
        <v>252</v>
      </c>
      <c r="D6" s="51" t="s">
        <v>27</v>
      </c>
      <c r="E6" s="52"/>
      <c r="F6" s="24">
        <v>166</v>
      </c>
      <c r="G6" s="25">
        <v>104698.8099999999</v>
      </c>
      <c r="H6" s="26" t="s">
        <v>28</v>
      </c>
      <c r="I6" s="27" t="s">
        <v>28</v>
      </c>
      <c r="J6" s="28" t="s">
        <v>28</v>
      </c>
      <c r="K6" s="25">
        <v>50384.449999999975</v>
      </c>
      <c r="L6" s="17">
        <f t="shared" ref="L6:L12" si="1">K6/G6</f>
        <v>0.48123230818000723</v>
      </c>
      <c r="M6" s="29" t="s">
        <v>29</v>
      </c>
      <c r="N6" s="29"/>
      <c r="O6" s="30"/>
      <c r="P6" s="19" t="s">
        <v>21</v>
      </c>
      <c r="Q6" s="31" t="s">
        <v>30</v>
      </c>
      <c r="R6" s="21" t="s">
        <v>31</v>
      </c>
      <c r="S6" s="21"/>
      <c r="T6" s="21"/>
      <c r="U6" s="21"/>
      <c r="V6" s="32" t="s">
        <v>26</v>
      </c>
      <c r="W6" s="33"/>
      <c r="X6" s="22" t="s">
        <v>25</v>
      </c>
      <c r="Y6" s="23">
        <v>46297</v>
      </c>
      <c r="Z6" s="23">
        <f t="shared" si="0"/>
        <v>46304</v>
      </c>
      <c r="AA6" s="59" t="s">
        <v>26</v>
      </c>
      <c r="AB6" s="62" t="s">
        <v>61</v>
      </c>
    </row>
    <row r="7" spans="2:28" x14ac:dyDescent="0.3">
      <c r="B7" s="10">
        <v>3</v>
      </c>
      <c r="C7" s="35">
        <v>49</v>
      </c>
      <c r="D7" s="51" t="s">
        <v>32</v>
      </c>
      <c r="E7" s="52"/>
      <c r="F7" s="14">
        <v>129</v>
      </c>
      <c r="G7" s="15">
        <v>98393.840000000084</v>
      </c>
      <c r="H7" s="16" t="s">
        <v>33</v>
      </c>
      <c r="I7" s="16" t="s">
        <v>33</v>
      </c>
      <c r="J7" s="16" t="s">
        <v>33</v>
      </c>
      <c r="K7" s="15">
        <v>45400.360000000015</v>
      </c>
      <c r="L7" s="36">
        <f t="shared" si="1"/>
        <v>0.46141465766556095</v>
      </c>
      <c r="M7" s="37" t="s">
        <v>20</v>
      </c>
      <c r="N7" s="38"/>
      <c r="O7" s="39"/>
      <c r="P7" s="19" t="s">
        <v>21</v>
      </c>
      <c r="Q7" s="31" t="s">
        <v>30</v>
      </c>
      <c r="R7" s="40" t="s">
        <v>34</v>
      </c>
      <c r="S7" s="41"/>
      <c r="T7" s="41"/>
      <c r="U7" s="42"/>
      <c r="V7" s="16" t="s">
        <v>26</v>
      </c>
      <c r="W7" s="16"/>
      <c r="X7" s="22" t="s">
        <v>25</v>
      </c>
      <c r="Y7" s="23">
        <v>46297</v>
      </c>
      <c r="Z7" s="23">
        <f t="shared" si="0"/>
        <v>46304</v>
      </c>
      <c r="AA7" s="58" t="s">
        <v>26</v>
      </c>
      <c r="AB7" s="63" t="s">
        <v>62</v>
      </c>
    </row>
    <row r="8" spans="2:28" x14ac:dyDescent="0.3">
      <c r="B8" s="10">
        <v>4</v>
      </c>
      <c r="C8" s="35">
        <v>150</v>
      </c>
      <c r="D8" s="51" t="s">
        <v>35</v>
      </c>
      <c r="E8" s="52"/>
      <c r="F8" s="14">
        <v>44</v>
      </c>
      <c r="G8" s="15">
        <v>75113.23000000004</v>
      </c>
      <c r="H8" s="12" t="s">
        <v>36</v>
      </c>
      <c r="I8" s="43"/>
      <c r="J8" s="13"/>
      <c r="K8" s="15">
        <v>46588.170000000027</v>
      </c>
      <c r="L8" s="36">
        <f t="shared" si="1"/>
        <v>0.62023920419878098</v>
      </c>
      <c r="M8" s="29" t="s">
        <v>20</v>
      </c>
      <c r="N8" s="29"/>
      <c r="O8" s="30"/>
      <c r="P8" s="19" t="s">
        <v>21</v>
      </c>
      <c r="Q8" s="20" t="s">
        <v>22</v>
      </c>
      <c r="R8" s="21" t="s">
        <v>31</v>
      </c>
      <c r="S8" s="21"/>
      <c r="T8" s="21"/>
      <c r="U8" s="21"/>
      <c r="V8" s="44" t="s">
        <v>26</v>
      </c>
      <c r="W8" s="45"/>
      <c r="X8" s="22" t="s">
        <v>25</v>
      </c>
      <c r="Y8" s="23">
        <v>46297</v>
      </c>
      <c r="Z8" s="23">
        <f t="shared" si="0"/>
        <v>46304</v>
      </c>
      <c r="AA8" s="58" t="s">
        <v>26</v>
      </c>
      <c r="AB8" s="61" t="s">
        <v>60</v>
      </c>
    </row>
    <row r="9" spans="2:28" x14ac:dyDescent="0.3">
      <c r="B9" s="10">
        <v>5</v>
      </c>
      <c r="C9" s="11">
        <v>204</v>
      </c>
      <c r="D9" s="51" t="s">
        <v>37</v>
      </c>
      <c r="E9" s="52"/>
      <c r="F9" s="14">
        <v>157</v>
      </c>
      <c r="G9" s="15">
        <v>74272.650000000096</v>
      </c>
      <c r="H9" s="16" t="s">
        <v>38</v>
      </c>
      <c r="I9" s="16"/>
      <c r="J9" s="16"/>
      <c r="K9" s="15">
        <v>32215.439999999984</v>
      </c>
      <c r="L9" s="36">
        <f t="shared" si="1"/>
        <v>0.43374566546366589</v>
      </c>
      <c r="M9" s="18" t="s">
        <v>39</v>
      </c>
      <c r="N9" s="18"/>
      <c r="O9" s="18"/>
      <c r="P9" s="19" t="s">
        <v>21</v>
      </c>
      <c r="Q9" s="20" t="s">
        <v>22</v>
      </c>
      <c r="R9" s="21" t="s">
        <v>40</v>
      </c>
      <c r="S9" s="21"/>
      <c r="T9" s="21"/>
      <c r="U9" s="21"/>
      <c r="V9" s="21" t="s">
        <v>41</v>
      </c>
      <c r="W9" s="21"/>
      <c r="X9" s="22" t="s">
        <v>25</v>
      </c>
      <c r="Y9" s="23">
        <v>46297</v>
      </c>
      <c r="Z9" s="23">
        <f t="shared" si="0"/>
        <v>46304</v>
      </c>
      <c r="AA9" s="58" t="s">
        <v>26</v>
      </c>
      <c r="AB9" s="62" t="s">
        <v>61</v>
      </c>
    </row>
    <row r="10" spans="2:28" x14ac:dyDescent="0.3">
      <c r="B10" s="10">
        <v>6</v>
      </c>
      <c r="C10" s="14">
        <v>22</v>
      </c>
      <c r="D10" s="51" t="s">
        <v>42</v>
      </c>
      <c r="E10" s="52"/>
      <c r="F10" s="14">
        <v>62</v>
      </c>
      <c r="G10" s="15">
        <v>74198.220000000045</v>
      </c>
      <c r="H10" s="16" t="s">
        <v>43</v>
      </c>
      <c r="I10" s="16"/>
      <c r="J10" s="16"/>
      <c r="K10" s="15">
        <v>54922.840000000026</v>
      </c>
      <c r="L10" s="36">
        <f t="shared" si="1"/>
        <v>0.7402177572453893</v>
      </c>
      <c r="M10" s="18" t="s">
        <v>44</v>
      </c>
      <c r="N10" s="18"/>
      <c r="O10" s="18"/>
      <c r="P10" s="19" t="s">
        <v>21</v>
      </c>
      <c r="Q10" s="46" t="s">
        <v>45</v>
      </c>
      <c r="R10" s="21" t="s">
        <v>46</v>
      </c>
      <c r="S10" s="21"/>
      <c r="T10" s="21"/>
      <c r="U10" s="21"/>
      <c r="V10" s="21" t="s">
        <v>47</v>
      </c>
      <c r="W10" s="21"/>
      <c r="X10" s="22" t="s">
        <v>25</v>
      </c>
      <c r="Y10" s="23">
        <v>46297</v>
      </c>
      <c r="Z10" s="23">
        <f t="shared" si="0"/>
        <v>46304</v>
      </c>
      <c r="AA10" s="58" t="s">
        <v>26</v>
      </c>
      <c r="AB10" s="63" t="s">
        <v>62</v>
      </c>
    </row>
    <row r="11" spans="2:28" x14ac:dyDescent="0.3">
      <c r="B11" s="47">
        <v>7</v>
      </c>
      <c r="C11" s="34">
        <v>16</v>
      </c>
      <c r="D11" s="51" t="s">
        <v>48</v>
      </c>
      <c r="E11" s="52"/>
      <c r="F11" s="24">
        <v>129</v>
      </c>
      <c r="G11" s="15">
        <v>63369.279999999977</v>
      </c>
      <c r="H11" s="26" t="s">
        <v>28</v>
      </c>
      <c r="I11" s="27"/>
      <c r="J11" s="28"/>
      <c r="K11" s="25">
        <v>13699.640000000001</v>
      </c>
      <c r="L11" s="17">
        <f t="shared" si="1"/>
        <v>0.2161874018451844</v>
      </c>
      <c r="M11" s="18" t="s">
        <v>49</v>
      </c>
      <c r="N11" s="18"/>
      <c r="O11" s="18"/>
      <c r="P11" s="19" t="s">
        <v>21</v>
      </c>
      <c r="Q11" s="48" t="s">
        <v>22</v>
      </c>
      <c r="R11" s="21" t="s">
        <v>50</v>
      </c>
      <c r="S11" s="21"/>
      <c r="T11" s="21"/>
      <c r="U11" s="21"/>
      <c r="V11" s="26" t="s">
        <v>26</v>
      </c>
      <c r="W11" s="28"/>
      <c r="X11" s="22" t="s">
        <v>25</v>
      </c>
      <c r="Y11" s="23">
        <v>46297</v>
      </c>
      <c r="Z11" s="23">
        <f t="shared" si="0"/>
        <v>46304</v>
      </c>
      <c r="AA11" s="59" t="s">
        <v>26</v>
      </c>
      <c r="AB11" s="62" t="s">
        <v>61</v>
      </c>
    </row>
    <row r="12" spans="2:28" x14ac:dyDescent="0.3">
      <c r="B12" s="10">
        <v>8</v>
      </c>
      <c r="C12" s="35">
        <v>197</v>
      </c>
      <c r="D12" s="51" t="s">
        <v>51</v>
      </c>
      <c r="E12" s="52"/>
      <c r="F12" s="14">
        <v>112</v>
      </c>
      <c r="G12" s="15">
        <v>56999.910000000018</v>
      </c>
      <c r="H12" s="16" t="s">
        <v>52</v>
      </c>
      <c r="I12" s="16"/>
      <c r="J12" s="16"/>
      <c r="K12" s="15">
        <v>20616.480000000007</v>
      </c>
      <c r="L12" s="36">
        <f t="shared" si="1"/>
        <v>0.36169320267347793</v>
      </c>
      <c r="M12" s="29" t="s">
        <v>53</v>
      </c>
      <c r="N12" s="29"/>
      <c r="O12" s="30"/>
      <c r="P12" s="19" t="s">
        <v>21</v>
      </c>
      <c r="Q12" s="48" t="s">
        <v>22</v>
      </c>
      <c r="R12" s="40" t="s">
        <v>54</v>
      </c>
      <c r="S12" s="41"/>
      <c r="T12" s="41"/>
      <c r="U12" s="42"/>
      <c r="V12" s="49" t="s">
        <v>55</v>
      </c>
      <c r="W12" s="50"/>
      <c r="X12" s="22" t="s">
        <v>25</v>
      </c>
      <c r="Y12" s="23">
        <v>46297</v>
      </c>
      <c r="Z12" s="23">
        <f t="shared" si="0"/>
        <v>46304</v>
      </c>
      <c r="AA12" s="58" t="s">
        <v>26</v>
      </c>
      <c r="AB12" s="63" t="s">
        <v>62</v>
      </c>
    </row>
  </sheetData>
  <mergeCells count="50">
    <mergeCell ref="V3:W3"/>
    <mergeCell ref="H3:J3"/>
    <mergeCell ref="D3:E3"/>
    <mergeCell ref="M3:O3"/>
    <mergeCell ref="R3:U3"/>
    <mergeCell ref="D12:E12"/>
    <mergeCell ref="H12:J12"/>
    <mergeCell ref="M12:O12"/>
    <mergeCell ref="R12:U12"/>
    <mergeCell ref="V12:W12"/>
    <mergeCell ref="D10:E10"/>
    <mergeCell ref="H10:J10"/>
    <mergeCell ref="M10:O10"/>
    <mergeCell ref="R10:U10"/>
    <mergeCell ref="V10:W10"/>
    <mergeCell ref="D11:E11"/>
    <mergeCell ref="H11:J11"/>
    <mergeCell ref="M11:O11"/>
    <mergeCell ref="R11:U11"/>
    <mergeCell ref="V11:W11"/>
    <mergeCell ref="D8:E8"/>
    <mergeCell ref="H8:J8"/>
    <mergeCell ref="M8:O8"/>
    <mergeCell ref="R8:U8"/>
    <mergeCell ref="V8:W8"/>
    <mergeCell ref="D9:E9"/>
    <mergeCell ref="H9:J9"/>
    <mergeCell ref="M9:O9"/>
    <mergeCell ref="R9:U9"/>
    <mergeCell ref="V9:W9"/>
    <mergeCell ref="D6:E6"/>
    <mergeCell ref="H6:J6"/>
    <mergeCell ref="M6:O6"/>
    <mergeCell ref="R6:U6"/>
    <mergeCell ref="V6:W6"/>
    <mergeCell ref="D7:E7"/>
    <mergeCell ref="H7:J7"/>
    <mergeCell ref="M7:O7"/>
    <mergeCell ref="R7:U7"/>
    <mergeCell ref="V7:W7"/>
    <mergeCell ref="D4:E4"/>
    <mergeCell ref="H4:J4"/>
    <mergeCell ref="M4:O4"/>
    <mergeCell ref="R4:U4"/>
    <mergeCell ref="V4:W4"/>
    <mergeCell ref="D5:E5"/>
    <mergeCell ref="H5:J5"/>
    <mergeCell ref="M5:O5"/>
    <mergeCell ref="R5:U5"/>
    <mergeCell ref="V5:W5"/>
  </mergeCells>
  <conditionalFormatting sqref="C4">
    <cfRule type="duplicateValues" dxfId="0" priority="1"/>
  </conditionalFormatting>
  <hyperlinks>
    <hyperlink ref="P12" location="'Data 8'!A1" display="Link" xr:uid="{70351F5C-67F9-4A9C-AE43-398CDB7A5711}"/>
    <hyperlink ref="P7" location="'Data 3'!A1" display="Link" xr:uid="{98C7D375-4FAE-4C0D-A40A-86766DA9DB9B}"/>
    <hyperlink ref="P9" location="'Data 5'!A1" display="Link" xr:uid="{9A95A264-5B47-4A34-BD92-1D18561A04DA}"/>
    <hyperlink ref="P6" location="'Data 2'!A1" display="Link" xr:uid="{25B4B887-97C6-40E3-90DB-CD296C59930B}"/>
    <hyperlink ref="P5" location="'Data 1'!A1" display="Link" xr:uid="{601354B2-1F50-478E-9C19-5DA6702D63B5}"/>
    <hyperlink ref="P10" location="'Data 6'!A1" display="Link" xr:uid="{96D20391-B3AF-4846-A08F-1B4B71F24A63}"/>
    <hyperlink ref="P11" location="'Data 7'!A1" display="Link" xr:uid="{89E70123-BFA3-494C-B3CF-3E6F97FEB934}"/>
    <hyperlink ref="P8" location="'Data 4'!A1" display="Link" xr:uid="{E1C404FD-7EA9-44D9-A952-5E05104782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</dc:creator>
  <cp:lastModifiedBy>Prasanna R</cp:lastModifiedBy>
  <dcterms:created xsi:type="dcterms:W3CDTF">2026-10-08T07:59:49Z</dcterms:created>
  <dcterms:modified xsi:type="dcterms:W3CDTF">2026-10-08T08:13:46Z</dcterms:modified>
</cp:coreProperties>
</file>