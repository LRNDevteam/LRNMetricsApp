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Order'!$B$5:$P$87</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84">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xf numFmtId="0" fontId="21" fillId="0" borderId="1" applyAlignment="1" pivotButton="0" quotePrefix="0" xfId="0">
      <alignment horizontal="center" vertical="center"/>
    </xf>
    <xf numFmtId="0" fontId="20" fillId="0" borderId="1" applyAlignment="1" pivotButton="0" quotePrefix="0" xfId="0">
      <alignment vertical="center" wrapText="1"/>
    </xf>
    <xf numFmtId="0" fontId="24" fillId="0" borderId="0" pivotButton="0" quotePrefix="0" xfId="0"/>
    <xf numFmtId="0" fontId="12" fillId="2" borderId="1" applyAlignment="1" pivotButton="0" quotePrefix="0" xfId="0">
      <alignment horizontal="center" wrapText="1"/>
    </xf>
    <xf numFmtId="0" fontId="20" fillId="0" borderId="1" applyAlignment="1" pivotButton="0" quotePrefix="0" xfId="0">
      <alignment horizontal="center"/>
    </xf>
    <xf numFmtId="0" fontId="21" fillId="0" borderId="1" applyAlignment="1" pivotButton="0" quotePrefix="0" xfId="0">
      <alignment horizontal="center"/>
    </xf>
    <xf numFmtId="9" fontId="20" fillId="0" borderId="1" applyAlignment="1" pivotButton="0" quotePrefix="0" xfId="0">
      <alignment horizontal="center"/>
    </xf>
    <xf numFmtId="0" fontId="25" fillId="0" borderId="0" applyAlignment="1" pivotButton="0" quotePrefix="0" xfId="0">
      <alignment vertical="top" wrapText="1"/>
    </xf>
  </cellXfs>
  <cellStyles count="1">
    <cellStyle name="Normal" xfId="0" builtinId="0"/>
  </cellStyles>
  <dxfs count="4">
    <dxf>
      <font>
        <b val="1"/>
        <color rgb="FF006100"/>
      </font>
      <fill>
        <patternFill patternType="solid">
          <fgColor rgb="FFC6EFCE"/>
        </patternFill>
      </fill>
    </dxf>
    <dxf>
      <font>
        <b val="1"/>
        <color rgb="FF9C5700"/>
      </font>
      <fill>
        <patternFill patternType="solid">
          <fgColor rgb="FFFFEB9C"/>
        </patternFill>
      </fill>
    </dxf>
    <dxf>
      <font>
        <b val="1"/>
        <color rgb="FF595959"/>
      </font>
      <fill>
        <patternFill patternType="solid">
          <fgColor rgb="FFF2F2F2"/>
        </patternFill>
      </fill>
    </dxf>
    <dxf>
      <font>
        <b val="1"/>
        <color rgb="FF9C0006"/>
      </font>
      <fill>
        <patternFill patternType="solid">
          <f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P10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 width="13" customWidth="1" min="15" max="15"/>
    <col width="70" customWidth="1" min="16" max="16"/>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c r="O5" s="17" t="inlineStr">
        <is>
          <t>Status</t>
        </is>
      </c>
      <c r="P5" s="17" t="inlineStr">
        <is>
          <t>Status Notes (AR Workbench)</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c r="O6" s="76" t="inlineStr">
        <is>
          <t>In Progress</t>
        </is>
      </c>
      <c r="P6" s="77" t="inlineStr">
        <is>
          <t>Clarifications sheet: only D-01 and D-03 have a decision; D-02, D-04 … D-17 are still open.</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c r="O7" s="76" t="inlineStr">
        <is>
          <t>Completed</t>
        </is>
      </c>
      <c r="P7" s="77" t="inlineStr">
        <is>
          <t>8 'AR Workbench - …' roles + RoleFeatureAccess matrix (LRNMaster_01_ARWB_Roles_Access.sql); every API call checks the permission.</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c r="O8" s="76" t="inlineStr">
        <is>
          <t>Completed</t>
        </is>
      </c>
      <c r="P8" s="77" t="inlineStr">
        <is>
          <t>navigation.js drives the sidebar and the route guard; API enforces the same roles.</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c r="O9" s="76" t="inlineStr">
        <is>
          <t>Completed</t>
        </is>
      </c>
      <c r="P9" s="77" t="inlineStr">
        <is>
          <t>Clinic / provider / agent scope applied in SQL on every claim query (SqlArWorkbenchRepository.AppendScope).</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c r="O10" s="76" t="inlineStr">
        <is>
          <t>Completed</t>
        </is>
      </c>
      <c r="P10" s="77" t="inlineStr">
        <is>
          <t>Scope badge in the top bar for clinic / provider-scoped users (AppShell).</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c r="O11" s="76" t="inlineStr">
        <is>
          <t>Completed</t>
        </is>
      </c>
      <c r="P11" s="77" t="inlineStr">
        <is>
          <t>Master Values &gt; Workbench Lists: Denial Categories (add / edit / deactivate / delete).</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c r="O12" s="76" t="inlineStr">
        <is>
          <t>Completed</t>
        </is>
      </c>
      <c r="P12" s="77" t="inlineStr">
        <is>
          <t>Master Values &gt; Timely Filing Limits: limit per financial class, default limit and risk window; saving recalculates every claim's TFL deadline and risk flag.</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c r="O13" s="76" t="inlineStr">
        <is>
          <t>Completed</t>
        </is>
      </c>
      <c r="P13" s="77" t="inlineStr">
        <is>
          <t>Master Values &gt; Workbench Lists: Non-Collectible Denial Codes.</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c r="O14" s="76" t="inlineStr">
        <is>
          <t>Completed</t>
        </is>
      </c>
      <c r="P14" s="77" t="inlineStr">
        <is>
          <t>Master Values &gt; Workbench Lists: Claim Types, Follow-Up Types, Follow-Up Claim Statuses.</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c r="O15" s="76" t="inlineStr">
        <is>
          <t>Completed</t>
        </is>
      </c>
      <c r="P15" s="77" t="inlineStr">
        <is>
          <t>Master Values &gt; Workbench Lists: Panel Types.</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c r="O16" s="76" t="inlineStr">
        <is>
          <t>Completed</t>
        </is>
      </c>
      <c r="P16" s="77" t="inlineStr">
        <is>
          <t>Master Values &gt; Workbench Lists: Denial Root Cause Options.</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c r="O17" s="76" t="inlineStr">
        <is>
          <t>Completed</t>
        </is>
      </c>
      <c r="P17" s="77" t="inlineStr">
        <is>
          <t>Master Values &gt; Workbench Lists: Fix / Resolution Options. Fix / Resolution by Status is view-only.</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c r="O18" s="76" t="inlineStr">
        <is>
          <t>Completed</t>
        </is>
      </c>
      <c r="P18" s="77" t="inlineStr">
        <is>
          <t>Master Values &gt; Denial Code Master (Super Master) and Workbench Category Map, with Excel import / export and Apply to claims.</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c r="O19" s="76" t="inlineStr">
        <is>
          <t>Completed</t>
        </is>
      </c>
      <c r="P19" s="77" t="inlineStr">
        <is>
          <t>Master Values &gt; Workbench Lists: CIP Categories, CIP Required Information.</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c r="O20" s="76" t="inlineStr">
        <is>
          <t>Completed</t>
        </is>
      </c>
      <c r="P20" s="77" t="inlineStr">
        <is>
          <t>Same masters as T015 / T017 / T018 / T020 (duplicate task).</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c r="O21" s="76" t="inlineStr">
        <is>
          <t>Completed</t>
        </is>
      </c>
      <c r="P21" s="77" t="inlineStr">
        <is>
          <t>Financial &amp; recovery columns on dbo.ARWB_Claim (initial AR, revenue expectation, variance, underpayment, recovered, remaining AR).</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c r="O22" s="76" t="inlineStr">
        <is>
          <t>Completed</t>
        </is>
      </c>
      <c r="P22" s="77" t="inlineStr">
        <is>
          <t>Tables: ARWB_ClaimActivity, ClaimFollowUp, ClaimQaReview, AgentRequest, CipCase(+History), Document.</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c r="O23" s="76" t="inlineStr">
        <is>
          <t>Completed</t>
        </is>
      </c>
      <c r="P23" s="77" t="inlineStr">
        <is>
          <t>dbo.ARWB_Claim + ARWB_ClaimLine + ARWB_ClaimLineDenial.</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c r="O24" s="76" t="inlineStr">
        <is>
          <t>Completed</t>
        </is>
      </c>
      <c r="P24" s="77" t="inlineStr">
        <is>
          <t>dbo.ARWB_usp_LoadClaimsFromSource syncs every claim and line, then classifies them.</t>
        </is>
      </c>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c r="O25" s="76" t="inlineStr">
        <is>
          <t>Completed</t>
        </is>
      </c>
      <c r="P25" s="77" t="inlineStr">
        <is>
          <t>Claim workspace tabs: Overview, CPT / Line Details, Denial, Follow-Ups, Activity Timeline.</t>
        </is>
      </c>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c r="O26" s="76" t="inlineStr">
        <is>
          <t>Completed</t>
        </is>
      </c>
      <c r="P26" s="77" t="inlineStr">
        <is>
          <t>dbo.ARWB_DenialInsight + ARWB_DenialInsightClaim.</t>
        </is>
      </c>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c r="O27" s="76" t="inlineStr">
        <is>
          <t>Completed</t>
        </is>
      </c>
      <c r="P27" s="77" t="inlineStr">
        <is>
          <t>dbo.ARWB_usp_BuildDenialInsights builds current + previous week insights from the synced claims (not copied from the Denial Summary report).</t>
        </is>
      </c>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c r="O28" s="76" t="inlineStr">
        <is>
          <t>Completed</t>
        </is>
      </c>
      <c r="P28" s="77" t="inlineStr">
        <is>
          <t>Insights stored per refresh run / sync week (dbo.ARWB_vw_DenialInsight).</t>
        </is>
      </c>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c r="O29" s="76" t="inlineStr">
        <is>
          <t>Completed</t>
        </is>
      </c>
      <c r="P29" s="77" t="inlineStr">
        <is>
          <t>Run Data Processing runs the sync, which rebuilds the insights (step 5 of the load procedure).</t>
        </is>
      </c>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c r="O30" s="76" t="inlineStr">
        <is>
          <t>In Progress</t>
        </is>
      </c>
      <c r="P30" s="77" t="inlineStr">
        <is>
          <t>Weekly sync refreshes payments and balances; recovery attribution rule ('payment after first AR activity') waits on decision D-08.</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c r="O31" s="76" t="inlineStr">
        <is>
          <t>Completed</t>
        </is>
      </c>
      <c r="P31" s="77" t="inlineStr">
        <is>
          <t>Data Processing screen: run history, last refresh, source period, record counts, Run Data Processing.</t>
        </is>
      </c>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c r="O32" s="76" t="inlineStr">
        <is>
          <t>Completed</t>
        </is>
      </c>
      <c r="P32" s="77" t="inlineStr">
        <is>
          <t>dbo.ARWB_usp_RecalculateClaimState: financially closed, work complete, open insurance AR, re-follow-up due, follow-up actionable.</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c r="O33" s="76" t="inlineStr">
        <is>
          <t>Completed</t>
        </is>
      </c>
      <c r="P33" s="77" t="inlineStr">
        <is>
          <t>Queue engine in the same procedure: 12 AR queues + collectible / non-collectible sub-queues from dbo.ARWB_ArQueue.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c r="O34" s="76" t="inlineStr">
        <is>
          <t>In Progress</t>
        </is>
      </c>
      <c r="P34" s="77" t="inlineStr">
        <is>
          <t>Assignment (Unassigned/Completed -&gt; Assigned) and follow-up (-&gt; Submitted for QA, QA review Awaiting QA, CIP case Awaiting QA) transitions done; QA approve/reject and CIP transitions not built.</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c r="O35" s="76" t="inlineStr">
        <is>
          <t>Completed</t>
        </is>
      </c>
      <c r="P35" s="77" t="inlineStr">
        <is>
          <t>Same as T040 (duplicate task).</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c r="O36" s="76" t="inlineStr">
        <is>
          <t>Completed</t>
        </is>
      </c>
      <c r="P36" s="77" t="inlineStr">
        <is>
          <t>TflDeadline / IsTflRisk computed per claim; TFL column and 'TFL risk only' filter on the Work Queue.</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c r="O37" s="76" t="inlineStr">
        <is>
          <t>Completed</t>
        </is>
      </c>
      <c r="P37" s="77"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c r="O38" s="76" t="inlineStr">
        <is>
          <t>In Progress</t>
        </is>
      </c>
      <c r="P38" s="77" t="inlineStr">
        <is>
          <t>SQL ready (ARWB_usp_SnapshotQueues); no nightly job scheduled yet.</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c r="O39" s="76" t="inlineStr">
        <is>
          <t>Completed</t>
        </is>
      </c>
      <c r="P39" s="77" t="inlineStr">
        <is>
          <t>Shared DataTable: server-side sort / paging, CSV export, column visibility, row selection; shared Modal and Notice.</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c r="O40" s="76" t="inlineStr">
        <is>
          <t>Completed</t>
        </is>
      </c>
      <c r="P40" s="77"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c r="O41" s="76" t="inlineStr">
        <is>
          <t>Completed</t>
        </is>
      </c>
      <c r="P41" s="77" t="inlineStr">
        <is>
          <t>Denial &amp; AR Work Queue: claim listing with server paging.</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c r="O42" s="76" t="inlineStr">
        <is>
          <t>Completed</t>
        </is>
      </c>
      <c r="P42" s="77" t="inlineStr">
        <is>
          <t>Work Queue columns include Aging, Denial Category, TFL, Priority, AR Queue and Expected Payment (Revenue Expectation, sortable).</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c r="O43" s="76" t="inlineStr">
        <is>
          <t>Completed</t>
        </is>
      </c>
      <c r="P43" s="77" t="inlineStr">
        <is>
          <t>Work Queue multi-select filters (clinic, payer, panel, category, status, agent, priority, aging, queue), kept in the URL.</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c r="O44" s="76" t="inlineStr">
        <is>
          <t>Completed</t>
        </is>
      </c>
      <c r="P44" s="77" t="inlineStr">
        <is>
          <t>Listing re-queries on every filter change; filter chips.</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c r="O45" s="76" t="inlineStr">
        <is>
          <t>Completed</t>
        </is>
      </c>
      <c r="P45" s="77" t="inlineStr">
        <is>
          <t>Work Queue checkbox selection + Assign Selected (agent picker, note, due date).</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c r="O46" s="76" t="inlineStr">
        <is>
          <t>Completed</t>
        </is>
      </c>
      <c r="P46" s="77" t="inlineStr">
        <is>
          <t>Work Queue: Export Filtered / Export All to Excel - every matching claim in the caller's scope (up to 100,000 rows), not just the page.</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c r="O47" s="76" t="inlineStr">
        <is>
          <t>Completed</t>
        </is>
      </c>
      <c r="P47" s="77" t="inlineStr">
        <is>
          <t>Data Processing screen: Denial Analysis Report for the current and previous sync week (open claims / balance, top payer, impact, observation, action) with Route to Work Queue.</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c r="O48" s="76" t="inlineStr">
        <is>
          <t>Completed</t>
        </is>
      </c>
      <c r="P48" s="77" t="inlineStr">
        <is>
          <t>Dashboard insights route to the Work Queue filtered to the denial code.</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c r="O49" s="76" t="inlineStr">
        <is>
          <t>Completed</t>
        </is>
      </c>
      <c r="P49" s="77" t="inlineStr">
        <is>
          <t>Claim workspace (/claims/:claimKey) with Overview, CPT, Denial, Follow-Ups, Activity Timeline.</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c r="O50" s="76" t="inlineStr">
        <is>
          <t>Completed</t>
        </is>
      </c>
      <c r="P50" s="77" t="inlineStr">
        <is>
          <t>Log Follow-Up Note on the claim workspace: Comments Framework fields, root cause when Denied, fix options by claim status, CIP block; saving sends the claim to QA (POST claims/{key}/follow-ups).</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c r="O51" s="76" t="inlineStr">
        <is>
          <t>Not Started</t>
        </is>
      </c>
      <c r="P51" s="77" t="inlineStr">
        <is>
          <t>No bulk follow-up upload.</t>
        </is>
      </c>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c r="O52" s="76" t="inlineStr">
        <is>
          <t>Completed</t>
        </is>
      </c>
      <c r="P52" s="77" t="inlineStr">
        <is>
          <t>My Work page built (/my-work): 9 quick-filter tiles from GET work-summary, search + payer/panel/category/priority/status/TFL + more filters, AR Queue, Fix/Resolution, Next Follow-Up columns, Log Follow-Up action. Agent sees own caseload (SQL scope).</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c r="O53" s="76" t="inlineStr">
        <is>
          <t>Completed</t>
        </is>
      </c>
      <c r="P53" s="77" t="inlineStr">
        <is>
          <t>Follow-Up Management page built (/follow-up): IsFollowUpActionable queue, overdue/today styling on Next Follow-Up, Agent + Last Follow-Up columns, Log Follow-Up drops the claim off the list.</t>
        </is>
      </c>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c r="O54" s="76" t="inlineStr">
        <is>
          <t>Completed</t>
        </is>
      </c>
      <c r="P54" s="77" t="inlineStr">
        <is>
          <t>Tiles All Active / Overdue / Due Today / Upcoming / No Follow-Up Scheduled with live counts; click filters the list.</t>
        </is>
      </c>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c r="O55" s="76" t="inlineStr">
        <is>
          <t>Completed</t>
        </is>
      </c>
      <c r="P55" s="77" t="inlineStr">
        <is>
          <t>Search, all filters, TFL and Save View (T042) in place on Follow-Up Management.</t>
        </is>
      </c>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c r="O56" s="76" t="inlineStr">
        <is>
          <t>In Progress</t>
        </is>
      </c>
      <c r="P56" s="77" t="inlineStr">
        <is>
          <t>Tile + filter bar + more filters combine into the server-side claim query; option lists are lab-wide, not yet narrowed by the other selections.</t>
        </is>
      </c>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c r="O57" s="76" t="inlineStr">
        <is>
          <t>Completed</t>
        </is>
      </c>
      <c r="P57" s="77" t="inlineStr">
        <is>
          <t>Claim ID / row opens claim detail (back returns to the page); Log Follow-Up opens the same follow-up modal as the Work Queue.</t>
        </is>
      </c>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c r="O58" s="76" t="inlineStr">
        <is>
          <t>Completed</t>
        </is>
      </c>
      <c r="P58" s="77"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c r="O59" s="76" t="inlineStr">
        <is>
          <t>Not Started</t>
        </is>
      </c>
      <c r="P59" s="77" t="n"/>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c r="O60" s="76" t="inlineStr">
        <is>
          <t>Completed</t>
        </is>
      </c>
      <c r="P60" s="77" t="inlineStr">
        <is>
          <t>Assignment Management: Unassigned Claims (open balance, untouched 45+ days, Days Untouched).</t>
        </is>
      </c>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c r="O61" s="76" t="inlineStr">
        <is>
          <t>Completed</t>
        </is>
      </c>
      <c r="P61" s="77" t="inlineStr">
        <is>
          <t>Create Assignment Batch (criteria preview, agent, due date) + Assignment Batches with live completion and running log.</t>
        </is>
      </c>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c r="O62" s="76" t="inlineStr">
        <is>
          <t>Completed</t>
        </is>
      </c>
      <c r="P62" s="77" t="inlineStr">
        <is>
          <t>Assigned Claims – Bulk Reassign + Agent Workload chart; reassigning resolves pending reassignment requests.</t>
        </is>
      </c>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c r="O63" s="76" t="inlineStr">
        <is>
          <t>Completed</t>
        </is>
      </c>
      <c r="P63" s="77" t="inlineStr">
        <is>
          <t>Claims open in the claim workspace, where Log Follow-Up Note is now available.</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c r="O64" s="76" t="inlineStr">
        <is>
          <t>Not Started</t>
        </is>
      </c>
      <c r="P64" s="77" t="inlineStr">
        <is>
          <t>dbo.ARWB_ClaimQaReview table only.</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c r="O65" s="76" t="inlineStr">
        <is>
          <t>Not Started</t>
        </is>
      </c>
      <c r="P65" s="77" t="inlineStr">
        <is>
          <t>QA Verification Queue is a planned page.</t>
        </is>
      </c>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c r="O66" s="76" t="inlineStr">
        <is>
          <t>Not Started</t>
        </is>
      </c>
      <c r="P66" s="77" t="inlineStr">
        <is>
          <t>dbo.ARWB_CipCase / CipCaseHistory tables only.</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c r="O67" s="76" t="inlineStr">
        <is>
          <t>Not Started</t>
        </is>
      </c>
      <c r="P67" s="77" t="n"/>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c r="O68" s="76" t="inlineStr">
        <is>
          <t>Not Started</t>
        </is>
      </c>
      <c r="P68" s="77" t="n"/>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c r="O69" s="76" t="inlineStr">
        <is>
          <t>Not Started</t>
        </is>
      </c>
      <c r="P69" s="77" t="n"/>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c r="O70" s="76" t="inlineStr">
        <is>
          <t>Not Started</t>
        </is>
      </c>
      <c r="P70" s="77" t="n"/>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c r="O71" s="76" t="inlineStr">
        <is>
          <t>Not Started</t>
        </is>
      </c>
      <c r="P71" s="77" t="n"/>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c r="O72" s="76" t="inlineStr">
        <is>
          <t>Not Started</t>
        </is>
      </c>
      <c r="P72" s="77" t="inlineStr">
        <is>
          <t>Per-claim Activity Timeline exists; no cross-claim Audit Logs screen.</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c r="O73" s="76" t="inlineStr">
        <is>
          <t>Not Started</t>
        </is>
      </c>
      <c r="P73" s="77" t="n"/>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c r="O74" s="76" t="inlineStr">
        <is>
          <t>Completed</t>
        </is>
      </c>
      <c r="P74" s="77" t="inlineStr">
        <is>
          <t>GET /api/ar-workbench/dashboard: 10 KPI tiles (claims, outstanding AR, unassigned, in progress, QA, completed, recovered, potential recovery, overdue follow-ups).</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c r="O75" s="76" t="inlineStr">
        <is>
          <t>Completed</t>
        </is>
      </c>
      <c r="P75" s="77" t="inlineStr">
        <is>
          <t>Dashboard widgets: insights, AR Collections Progress, Queue Volumes, Category &amp; Aging, Workflow Status, Recovery Performance, Agent Productivity.</t>
        </is>
      </c>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c r="O76" s="76" t="inlineStr">
        <is>
          <t>Not Started</t>
        </is>
      </c>
      <c r="P76" s="77" t="n"/>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c r="O77" s="76" t="inlineStr">
        <is>
          <t>Not Started</t>
        </is>
      </c>
      <c r="P77" s="77" t="n"/>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c r="O78" s="76" t="inlineStr">
        <is>
          <t>Not Started</t>
        </is>
      </c>
      <c r="P78" s="77" t="n"/>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c r="O79" s="76" t="inlineStr">
        <is>
          <t>Not Started</t>
        </is>
      </c>
      <c r="P79" s="77" t="n"/>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c r="O80" s="76" t="inlineStr">
        <is>
          <t>Not Started</t>
        </is>
      </c>
      <c r="P80" s="77" t="n"/>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c r="O81" s="76" t="inlineStr">
        <is>
          <t>Not Started</t>
        </is>
      </c>
      <c r="P81" s="77" t="n"/>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c r="O82" s="76" t="inlineStr">
        <is>
          <t>Not Started</t>
        </is>
      </c>
      <c r="P82" s="77" t="n"/>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c r="O83" s="76" t="inlineStr">
        <is>
          <t>Not Started</t>
        </is>
      </c>
      <c r="P83" s="77" t="n"/>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c r="O84" s="76" t="inlineStr">
        <is>
          <t>Not Started</t>
        </is>
      </c>
      <c r="P84" s="77" t="n"/>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c r="O85" s="76" t="inlineStr">
        <is>
          <t>Not Started</t>
        </is>
      </c>
      <c r="P85" s="77" t="n"/>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c r="O86" s="76" t="inlineStr">
        <is>
          <t>Not Started</t>
        </is>
      </c>
      <c r="P86" s="77" t="n"/>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c r="O87" s="76" t="inlineStr">
        <is>
          <t>Not Started</t>
        </is>
      </c>
      <c r="P87" s="77" t="n"/>
    </row>
    <row r="88"/>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row r="94">
      <c r="B94" s="78" t="inlineStr">
        <is>
          <t>AR Workbench build status — as of 10/06/2026 (updated after the P1 follow-up work)</t>
        </is>
      </c>
    </row>
    <row r="95">
      <c r="B95" s="79" t="inlineStr">
        <is>
          <t>Phase</t>
        </is>
      </c>
      <c r="C95" s="79" t="inlineStr">
        <is>
          <t>Completed</t>
        </is>
      </c>
      <c r="D95" s="79" t="inlineStr">
        <is>
          <t>In Progress</t>
        </is>
      </c>
      <c r="E95" s="79" t="inlineStr">
        <is>
          <t>Not Started</t>
        </is>
      </c>
      <c r="F95" s="79" t="inlineStr">
        <is>
          <t>Pending</t>
        </is>
      </c>
      <c r="G95" s="79" t="inlineStr">
        <is>
          <t>Total</t>
        </is>
      </c>
      <c r="H95" s="79" t="inlineStr">
        <is>
          <t>% Complete</t>
        </is>
      </c>
    </row>
    <row r="96">
      <c r="B96" s="80" t="inlineStr">
        <is>
          <t>P0</t>
        </is>
      </c>
      <c r="C96" s="80">
        <f>COUNTIFS($H$6:$H$87,"P0",$O$6:$O$87,"Completed")</f>
        <v/>
      </c>
      <c r="D96" s="80">
        <f>COUNTIFS($H$6:$H$87,"P0",$O$6:$O$87,"In Progress")</f>
        <v/>
      </c>
      <c r="E96" s="80">
        <f>COUNTIFS($H$6:$H$87,"P0",$O$6:$O$87,"Not Started")</f>
        <v/>
      </c>
      <c r="F96" s="80">
        <f>COUNTIFS($H$6:$H$87,"P0",$O$6:$O$87,"Pending")</f>
        <v/>
      </c>
      <c r="G96" s="81">
        <f>SUM(C96:F96)</f>
        <v/>
      </c>
      <c r="H96" s="82">
        <f>IF(G96=0,0,C96/G96)</f>
        <v/>
      </c>
    </row>
    <row r="97">
      <c r="B97" s="80" t="inlineStr">
        <is>
          <t>P1</t>
        </is>
      </c>
      <c r="C97" s="80">
        <f>COUNTIFS($H$6:$H$87,"P1",$O$6:$O$87,"Completed")</f>
        <v/>
      </c>
      <c r="D97" s="80">
        <f>COUNTIFS($H$6:$H$87,"P1",$O$6:$O$87,"In Progress")</f>
        <v/>
      </c>
      <c r="E97" s="80">
        <f>COUNTIFS($H$6:$H$87,"P1",$O$6:$O$87,"Not Started")</f>
        <v/>
      </c>
      <c r="F97" s="80">
        <f>COUNTIFS($H$6:$H$87,"P1",$O$6:$O$87,"Pending")</f>
        <v/>
      </c>
      <c r="G97" s="81">
        <f>SUM(C97:F97)</f>
        <v/>
      </c>
      <c r="H97" s="82">
        <f>IF(G97=0,0,C97/G97)</f>
        <v/>
      </c>
    </row>
    <row r="98">
      <c r="B98" s="80" t="inlineStr">
        <is>
          <t>P2</t>
        </is>
      </c>
      <c r="C98" s="80">
        <f>COUNTIFS($H$6:$H$87,"P2",$O$6:$O$87,"Completed")</f>
        <v/>
      </c>
      <c r="D98" s="80">
        <f>COUNTIFS($H$6:$H$87,"P2",$O$6:$O$87,"In Progress")</f>
        <v/>
      </c>
      <c r="E98" s="80">
        <f>COUNTIFS($H$6:$H$87,"P2",$O$6:$O$87,"Not Started")</f>
        <v/>
      </c>
      <c r="F98" s="80">
        <f>COUNTIFS($H$6:$H$87,"P2",$O$6:$O$87,"Pending")</f>
        <v/>
      </c>
      <c r="G98" s="81">
        <f>SUM(C98:F98)</f>
        <v/>
      </c>
      <c r="H98" s="82">
        <f>IF(G98=0,0,C98/G98)</f>
        <v/>
      </c>
    </row>
    <row r="99">
      <c r="B99" s="80" t="inlineStr">
        <is>
          <t>P3</t>
        </is>
      </c>
      <c r="C99" s="80">
        <f>COUNTIFS($H$6:$H$87,"P3",$O$6:$O$87,"Completed")</f>
        <v/>
      </c>
      <c r="D99" s="80">
        <f>COUNTIFS($H$6:$H$87,"P3",$O$6:$O$87,"In Progress")</f>
        <v/>
      </c>
      <c r="E99" s="80">
        <f>COUNTIFS($H$6:$H$87,"P3",$O$6:$O$87,"Not Started")</f>
        <v/>
      </c>
      <c r="F99" s="80">
        <f>COUNTIFS($H$6:$H$87,"P3",$O$6:$O$87,"Pending")</f>
        <v/>
      </c>
      <c r="G99" s="81">
        <f>SUM(C99:F99)</f>
        <v/>
      </c>
      <c r="H99" s="82">
        <f>IF(G99=0,0,C99/G99)</f>
        <v/>
      </c>
    </row>
    <row r="100">
      <c r="B100" s="80" t="inlineStr">
        <is>
          <t>P4</t>
        </is>
      </c>
      <c r="C100" s="80">
        <f>COUNTIFS($H$6:$H$87,"P4",$O$6:$O$87,"Completed")</f>
        <v/>
      </c>
      <c r="D100" s="80">
        <f>COUNTIFS($H$6:$H$87,"P4",$O$6:$O$87,"In Progress")</f>
        <v/>
      </c>
      <c r="E100" s="80">
        <f>COUNTIFS($H$6:$H$87,"P4",$O$6:$O$87,"Not Started")</f>
        <v/>
      </c>
      <c r="F100" s="80">
        <f>COUNTIFS($H$6:$H$87,"P4",$O$6:$O$87,"Pending")</f>
        <v/>
      </c>
      <c r="G100" s="81">
        <f>SUM(C100:F100)</f>
        <v/>
      </c>
      <c r="H100" s="82">
        <f>IF(G100=0,0,C100/G100)</f>
        <v/>
      </c>
    </row>
    <row r="101">
      <c r="B101" s="80" t="inlineStr">
        <is>
          <t>P5</t>
        </is>
      </c>
      <c r="C101" s="80">
        <f>COUNTIFS($H$6:$H$87,"P5",$O$6:$O$87,"Completed")</f>
        <v/>
      </c>
      <c r="D101" s="80">
        <f>COUNTIFS($H$6:$H$87,"P5",$O$6:$O$87,"In Progress")</f>
        <v/>
      </c>
      <c r="E101" s="80">
        <f>COUNTIFS($H$6:$H$87,"P5",$O$6:$O$87,"Not Started")</f>
        <v/>
      </c>
      <c r="F101" s="80">
        <f>COUNTIFS($H$6:$H$87,"P5",$O$6:$O$87,"Pending")</f>
        <v/>
      </c>
      <c r="G101" s="81">
        <f>SUM(C101:F101)</f>
        <v/>
      </c>
      <c r="H101" s="82">
        <f>IF(G101=0,0,C101/G101)</f>
        <v/>
      </c>
    </row>
    <row r="102">
      <c r="B102" s="81" t="inlineStr">
        <is>
          <t>All</t>
        </is>
      </c>
      <c r="C102" s="80">
        <f>COUNTIF($O$6:$O$87,"Completed")</f>
        <v/>
      </c>
      <c r="D102" s="80">
        <f>COUNTIF($O$6:$O$87,"In Progress")</f>
        <v/>
      </c>
      <c r="E102" s="80">
        <f>COUNTIF($O$6:$O$87,"Not Started")</f>
        <v/>
      </c>
      <c r="F102" s="80">
        <f>COUNTIF($O$6:$O$87,"Pending")</f>
        <v/>
      </c>
      <c r="G102" s="81">
        <f>SUM(C102:F102)</f>
        <v/>
      </c>
      <c r="H102" s="82">
        <f>IF(G102=0,0,C102/G102)</f>
        <v/>
      </c>
    </row>
    <row r="104" ht="30" customHeight="1">
      <c r="B104" s="8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sheetData>
  <autoFilter ref="B5:P87"/>
  <mergeCells count="7">
    <mergeCell ref="B90:N90"/>
    <mergeCell ref="B104:N104"/>
    <mergeCell ref="B3:D3"/>
    <mergeCell ref="B2:I2"/>
    <mergeCell ref="B92:N92"/>
    <mergeCell ref="B91:N91"/>
    <mergeCell ref="B89:N89"/>
  </mergeCells>
  <conditionalFormatting sqref="O6:O87">
    <cfRule type="cellIs" priority="1" operator="equal" dxfId="0">
      <formula>"Completed"</formula>
    </cfRule>
    <cfRule type="cellIs" priority="2" operator="equal" dxfId="1">
      <formula>"In Progress"</formula>
    </cfRule>
    <cfRule type="cellIs" priority="3" operator="equal" dxfId="2">
      <formula>"Not Started"</formula>
    </cfRule>
    <cfRule type="cellIs" priority="4" operator="equal" dxfId="3">
      <formula>"Pending"</formula>
    </cfRule>
  </conditionalFormatting>
  <dataValidations count="1">
    <dataValidation sqref="O6:O87"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2026-10-06T02:49:26Z</dcterms:modified>
  <cp:lastModifiedBy>Prasanna R</cp:lastModifiedBy>
</cp:coreProperties>
</file>