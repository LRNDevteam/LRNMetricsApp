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Queue Flow" sheetId="1" state="visible" r:id="rId1"/>
    <sheet xmlns:r="http://schemas.openxmlformats.org/officeDocument/2006/relationships" name="Clarifications" sheetId="2" state="visible" r:id="rId2"/>
    <sheet xmlns:r="http://schemas.openxmlformats.org/officeDocument/2006/relationships" name="Plan" sheetId="3" state="visible" r:id="rId3"/>
    <sheet xmlns:r="http://schemas.openxmlformats.org/officeDocument/2006/relationships" name="Plan - Corrected Order" sheetId="4" state="visible" r:id="rId4"/>
    <sheet xmlns:r="http://schemas.openxmlformats.org/officeDocument/2006/relationships" name="Statuses" sheetId="5" state="visible" r:id="rId5"/>
  </sheets>
  <definedNames>
    <definedName name="_xlnm._FilterDatabase" localSheetId="2" hidden="1">'Plan'!$B$3:$L$85</definedName>
    <definedName name="_xlnm._FilterDatabase" localSheetId="3" hidden="1">'Plan - Corrected Order'!$B$5:$N$87</definedName>
  </definedNames>
  <calcPr calcId="191029" fullCalcOnLoad="1"/>
</workbook>
</file>

<file path=xl/styles.xml><?xml version="1.0" encoding="utf-8"?>
<styleSheet xmlns="http://schemas.openxmlformats.org/spreadsheetml/2006/main">
  <numFmts count="1">
    <numFmt numFmtId="164" formatCode="yyyy-mm-dd"/>
  </numFmts>
  <fonts count="24">
    <font>
      <name val="Aptos Narrow"/>
      <family val="2"/>
      <color theme="1"/>
      <sz val="11"/>
      <scheme val="minor"/>
    </font>
    <font>
      <name val="Calibri"/>
      <family val="2"/>
      <color theme="1"/>
      <sz val="11"/>
    </font>
    <font>
      <name val="Calibri"/>
      <family val="2"/>
      <b val="1"/>
      <color theme="1"/>
      <sz val="11"/>
    </font>
    <font>
      <name val="Aptos Narrow"/>
      <family val="2"/>
      <sz val="8"/>
      <scheme val="minor"/>
    </font>
    <font>
      <name val="Aptos Narrow"/>
      <family val="2"/>
      <color theme="1"/>
      <sz val="11"/>
      <scheme val="minor"/>
    </font>
    <font>
      <name val="Aptos Narrow"/>
      <family val="2"/>
      <b val="1"/>
      <color theme="1"/>
      <sz val="11"/>
      <scheme val="minor"/>
    </font>
    <font>
      <name val="Calibri"/>
      <family val="2"/>
      <sz val="11"/>
    </font>
    <font>
      <name val="Calibri"/>
      <family val="2"/>
      <b val="1"/>
      <color rgb="FF0F6E6A"/>
      <sz val="11"/>
    </font>
    <font>
      <name val="Calibri"/>
      <family val="2"/>
      <i val="1"/>
      <color rgb="FF4C5B66"/>
      <sz val="11"/>
    </font>
    <font>
      <name val="Calibri"/>
      <family val="2"/>
      <b val="1"/>
      <color rgb="FFFFFFFF"/>
      <sz val="11"/>
    </font>
    <font>
      <name val="Aptos Narrow"/>
      <family val="2"/>
      <b val="1"/>
      <sz val="11"/>
      <scheme val="minor"/>
    </font>
    <font>
      <name val="Aptos Narrow"/>
      <family val="2"/>
      <sz val="11"/>
      <scheme val="minor"/>
    </font>
    <font>
      <name val="Aptos Narrow"/>
      <family val="2"/>
      <b val="1"/>
      <color theme="1"/>
      <sz val="10"/>
      <scheme val="minor"/>
    </font>
    <font>
      <name val="Aptos Narrow"/>
      <family val="2"/>
      <color theme="1"/>
      <sz val="10"/>
      <scheme val="minor"/>
    </font>
    <font>
      <name val="Aptos Narrow"/>
      <family val="2"/>
      <sz val="10"/>
      <scheme val="minor"/>
    </font>
    <font>
      <name val="Aptos Narrow"/>
      <family val="2"/>
      <i val="1"/>
      <color theme="1"/>
      <sz val="10"/>
      <scheme val="minor"/>
    </font>
    <font>
      <name val="Aptos Narrow"/>
      <family val="2"/>
      <i val="1"/>
      <sz val="10"/>
      <scheme val="minor"/>
    </font>
    <font>
      <name val="Aptos Narrow"/>
      <family val="2"/>
      <i val="1"/>
      <sz val="9"/>
      <scheme val="minor"/>
    </font>
    <font>
      <name val="Aptos Narrow"/>
      <family val="2"/>
      <i val="1"/>
      <sz val="11"/>
      <scheme val="minor"/>
    </font>
    <font>
      <name val="Aptos Narrow"/>
      <b val="1"/>
      <sz val="14"/>
    </font>
    <font>
      <name val="Aptos Narrow"/>
      <sz val="10"/>
    </font>
    <font>
      <name val="Aptos Narrow"/>
      <b val="1"/>
      <sz val="10"/>
    </font>
    <font>
      <name val="Aptos Narrow"/>
      <b val="1"/>
      <color rgb="FF0000FF"/>
      <sz val="10"/>
    </font>
    <font>
      <name val="Aptos Narrow"/>
      <b val="1"/>
      <color rgb="FFC00000"/>
      <sz val="10"/>
    </font>
  </fonts>
  <fills count="10">
    <fill>
      <patternFill/>
    </fill>
    <fill>
      <patternFill patternType="gray125"/>
    </fill>
    <fill>
      <patternFill patternType="solid">
        <fgColor theme="4" tint="0.7999816888943144"/>
        <bgColor indexed="64"/>
      </patternFill>
    </fill>
    <fill>
      <patternFill patternType="solid">
        <fgColor rgb="FF0F6E6A"/>
        <bgColor rgb="FF008080"/>
      </patternFill>
    </fill>
    <fill>
      <patternFill patternType="solid">
        <fgColor rgb="FFF2F2F2"/>
      </patternFill>
    </fill>
    <fill>
      <patternFill patternType="solid">
        <fgColor rgb="FFE2EFDA"/>
      </patternFill>
    </fill>
    <fill>
      <patternFill patternType="solid">
        <fgColor rgb="FFFFF2CC"/>
      </patternFill>
    </fill>
    <fill>
      <patternFill patternType="solid">
        <fgColor rgb="FFDDEBF7"/>
      </patternFill>
    </fill>
    <fill>
      <patternFill patternType="solid">
        <fgColor rgb="FFFCE4D6"/>
      </patternFill>
    </fill>
    <fill>
      <patternFill patternType="solid">
        <fgColor rgb="FFEDE7F6"/>
      </patternFill>
    </fill>
  </fills>
  <borders count="3">
    <border>
      <left/>
      <right/>
      <top/>
      <bottom/>
      <diagonal/>
    </border>
    <border>
      <left style="thin">
        <color indexed="64"/>
      </left>
      <right style="thin">
        <color indexed="64"/>
      </right>
      <top style="thin">
        <color indexed="64"/>
      </top>
      <bottom style="thin">
        <color indexed="64"/>
      </bottom>
      <diagonal/>
    </border>
    <border>
      <left style="dashed">
        <color indexed="64"/>
      </left>
      <right style="dashed">
        <color indexed="64"/>
      </right>
      <top style="dashed">
        <color indexed="64"/>
      </top>
      <bottom style="dashed">
        <color indexed="64"/>
      </bottom>
      <diagonal/>
    </border>
  </borders>
  <cellStyleXfs count="1">
    <xf numFmtId="0" fontId="4" fillId="0" borderId="0"/>
  </cellStyleXfs>
  <cellXfs count="76">
    <xf numFmtId="0" fontId="0" fillId="0" borderId="0" pivotButton="0" quotePrefix="0" xfId="0"/>
    <xf numFmtId="0" fontId="1" fillId="0" borderId="0" pivotButton="0" quotePrefix="0" xfId="0"/>
    <xf numFmtId="0" fontId="1" fillId="0" borderId="1" pivotButton="0" quotePrefix="0" xfId="0"/>
    <xf numFmtId="0" fontId="1" fillId="0" borderId="1" applyAlignment="1" pivotButton="0" quotePrefix="0" xfId="0">
      <alignment wrapText="1"/>
    </xf>
    <xf numFmtId="0" fontId="2" fillId="0" borderId="1" applyAlignment="1" pivotButton="0" quotePrefix="0" xfId="0">
      <alignment horizontal="center" vertical="center"/>
    </xf>
    <xf numFmtId="0" fontId="2" fillId="0" borderId="1" applyAlignment="1" pivotButton="0" quotePrefix="0" xfId="0">
      <alignment horizontal="center" vertical="center" wrapText="1"/>
    </xf>
    <xf numFmtId="0" fontId="1" fillId="0" borderId="0" pivotButton="0" quotePrefix="0" xfId="0"/>
    <xf numFmtId="0" fontId="1" fillId="0" borderId="1" applyAlignment="1" pivotButton="0" quotePrefix="0" xfId="0">
      <alignment horizontal="left" vertical="center" wrapText="1"/>
    </xf>
    <xf numFmtId="0" fontId="7" fillId="0" borderId="0" pivotButton="0" quotePrefix="0" xfId="0"/>
    <xf numFmtId="0" fontId="8" fillId="0" borderId="0" applyAlignment="1" pivotButton="0" quotePrefix="0" xfId="0">
      <alignment vertical="top" wrapText="1"/>
    </xf>
    <xf numFmtId="0" fontId="9" fillId="3" borderId="1" applyAlignment="1" pivotButton="0" quotePrefix="0" xfId="0">
      <alignment horizontal="center" vertical="top" wrapText="1"/>
    </xf>
    <xf numFmtId="0" fontId="6" fillId="0" borderId="1" applyAlignment="1" pivotButton="0" quotePrefix="0" xfId="0">
      <alignment vertical="center" wrapText="1"/>
    </xf>
    <xf numFmtId="0" fontId="1" fillId="0" borderId="1" applyAlignment="1" pivotButton="0" quotePrefix="0" xfId="0">
      <alignment vertical="center"/>
    </xf>
    <xf numFmtId="0" fontId="6" fillId="0" borderId="1" applyAlignment="1" pivotButton="0" quotePrefix="0" xfId="0">
      <alignment vertical="center" wrapText="1"/>
    </xf>
    <xf numFmtId="0" fontId="6" fillId="0" borderId="1" applyAlignment="1" pivotButton="0" quotePrefix="0" xfId="0">
      <alignment horizontal="center" vertical="center" wrapText="1"/>
    </xf>
    <xf numFmtId="0" fontId="2" fillId="0" borderId="1" applyAlignment="1" pivotButton="0" quotePrefix="0" xfId="0">
      <alignment vertical="center"/>
    </xf>
    <xf numFmtId="0" fontId="12" fillId="2" borderId="1" applyAlignment="1" pivotButton="0" quotePrefix="0" xfId="0">
      <alignment horizontal="center" vertical="center"/>
    </xf>
    <xf numFmtId="0" fontId="12" fillId="2" borderId="1" applyAlignment="1" pivotButton="0" quotePrefix="0" xfId="0">
      <alignment horizontal="center" vertical="center" wrapText="1"/>
    </xf>
    <xf numFmtId="0" fontId="13" fillId="0" borderId="0" pivotButton="0" quotePrefix="0" xfId="0"/>
    <xf numFmtId="0" fontId="12" fillId="0" borderId="1" applyAlignment="1" pivotButton="0" quotePrefix="0" xfId="0">
      <alignment horizontal="center" vertical="center"/>
    </xf>
    <xf numFmtId="0" fontId="13" fillId="0" borderId="0" pivotButton="0" quotePrefix="0" xfId="0"/>
    <xf numFmtId="0" fontId="12" fillId="0" borderId="1" applyAlignment="1" pivotButton="0" quotePrefix="0" xfId="0">
      <alignment horizontal="center" vertical="center"/>
    </xf>
    <xf numFmtId="0" fontId="14" fillId="0" borderId="1" applyAlignment="1" pivotButton="0" quotePrefix="0" xfId="0">
      <alignment horizontal="left" vertical="center" wrapText="1"/>
    </xf>
    <xf numFmtId="0" fontId="12" fillId="0" borderId="0" pivotButton="0" quotePrefix="0" xfId="0"/>
    <xf numFmtId="0" fontId="13" fillId="0" borderId="1" applyAlignment="1" pivotButton="0" quotePrefix="0" xfId="0">
      <alignment horizontal="left" vertical="center" wrapText="1"/>
    </xf>
    <xf numFmtId="0" fontId="13" fillId="0" borderId="1" applyAlignment="1" pivotButton="0" quotePrefix="0" xfId="0">
      <alignment wrapText="1"/>
    </xf>
    <xf numFmtId="0" fontId="13" fillId="0" borderId="1" applyAlignment="1" pivotButton="0" quotePrefix="0" xfId="0">
      <alignment horizontal="center" vertical="center"/>
    </xf>
    <xf numFmtId="0" fontId="13" fillId="0" borderId="1" pivotButton="0" quotePrefix="0" xfId="0"/>
    <xf numFmtId="0" fontId="13" fillId="0" borderId="1" applyAlignment="1" pivotButton="0" quotePrefix="0" xfId="0">
      <alignment horizontal="left" wrapText="1"/>
    </xf>
    <xf numFmtId="0" fontId="13" fillId="0" borderId="0" applyAlignment="1" pivotButton="0" quotePrefix="0" xfId="0">
      <alignment horizontal="left" wrapText="1"/>
    </xf>
    <xf numFmtId="0" fontId="13" fillId="0" borderId="0" applyAlignment="1" pivotButton="0" quotePrefix="0" xfId="0">
      <alignment wrapText="1"/>
    </xf>
    <xf numFmtId="0" fontId="11" fillId="0" borderId="1" applyAlignment="1" pivotButton="0" quotePrefix="0" xfId="0">
      <alignment vertical="top" wrapText="1"/>
    </xf>
    <xf numFmtId="0" fontId="11" fillId="0" borderId="1" applyAlignment="1" pivotButton="0" quotePrefix="0" xfId="0">
      <alignment vertical="top" wrapText="1"/>
    </xf>
    <xf numFmtId="0" fontId="17" fillId="0" borderId="1" applyAlignment="1" pivotButton="0" quotePrefix="0" xfId="0">
      <alignment vertical="top" wrapText="1"/>
    </xf>
    <xf numFmtId="0" fontId="13" fillId="0" borderId="0" pivotButton="0" quotePrefix="0" xfId="0"/>
    <xf numFmtId="0" fontId="13" fillId="0" borderId="1" applyAlignment="1" pivotButton="0" quotePrefix="0" xfId="0">
      <alignment horizontal="left" vertical="center" wrapText="1"/>
    </xf>
    <xf numFmtId="0" fontId="13" fillId="0" borderId="1" pivotButton="0" quotePrefix="0" xfId="0"/>
    <xf numFmtId="0" fontId="12" fillId="0" borderId="1" pivotButton="0" quotePrefix="0" xfId="0"/>
    <xf numFmtId="0" fontId="13" fillId="0" borderId="1" applyAlignment="1" pivotButton="0" quotePrefix="0" xfId="0">
      <alignment horizontal="center"/>
    </xf>
    <xf numFmtId="0" fontId="10" fillId="0" borderId="2" applyAlignment="1" pivotButton="0" quotePrefix="0" xfId="0">
      <alignment horizontal="center" vertical="center" wrapText="1"/>
    </xf>
    <xf numFmtId="0" fontId="4" fillId="0" borderId="2" applyAlignment="1" pivotButton="0" quotePrefix="0" xfId="0">
      <alignment horizontal="center" vertical="center"/>
    </xf>
    <xf numFmtId="0" fontId="5" fillId="0" borderId="2" applyAlignment="1" pivotButton="0" quotePrefix="0" xfId="0">
      <alignment horizontal="center" vertical="center"/>
    </xf>
    <xf numFmtId="0" fontId="14"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8" fillId="0" borderId="1" applyAlignment="1" pivotButton="0" quotePrefix="0" xfId="0">
      <alignment vertical="top" wrapText="1"/>
    </xf>
    <xf numFmtId="14" fontId="12" fillId="0" borderId="1" applyAlignment="1" pivotButton="0" quotePrefix="0" xfId="0">
      <alignment horizontal="center" vertical="center"/>
    </xf>
    <xf numFmtId="14" fontId="12" fillId="0" borderId="1" applyAlignment="1" pivotButton="0" quotePrefix="0" xfId="0">
      <alignment horizontal="center" vertical="center"/>
    </xf>
    <xf numFmtId="0" fontId="13" fillId="0" borderId="0" applyAlignment="1" pivotButton="0" quotePrefix="0" xfId="0">
      <alignment horizontal="center"/>
    </xf>
    <xf numFmtId="14" fontId="13" fillId="0" borderId="1" applyAlignment="1" pivotButton="0" quotePrefix="0" xfId="0">
      <alignment horizontal="center" vertical="center"/>
    </xf>
    <xf numFmtId="14" fontId="13" fillId="0" borderId="1" pivotButton="0" quotePrefix="0" xfId="0"/>
    <xf numFmtId="0" fontId="5" fillId="0" borderId="1" pivotButton="0" quotePrefix="0" xfId="0"/>
    <xf numFmtId="0" fontId="0" fillId="0" borderId="1" pivotButton="0" quotePrefix="0" xfId="0"/>
    <xf numFmtId="0" fontId="5" fillId="0" borderId="0" applyAlignment="1" pivotButton="0" quotePrefix="0" xfId="0">
      <alignment vertical="center" wrapText="1"/>
    </xf>
    <xf numFmtId="0" fontId="13" fillId="0" borderId="1" applyAlignment="1" pivotButton="0" quotePrefix="0" xfId="0">
      <alignment horizontal="center" vertical="center"/>
    </xf>
    <xf numFmtId="0" fontId="13" fillId="0" borderId="1" applyAlignment="1" pivotButton="0" quotePrefix="0" xfId="0">
      <alignment horizontal="center" vertical="center" wrapText="1"/>
    </xf>
    <xf numFmtId="0" fontId="11" fillId="0" borderId="1" applyAlignment="1" pivotButton="0" quotePrefix="0" xfId="0">
      <alignment horizontal="center" vertical="top" wrapText="1"/>
    </xf>
    <xf numFmtId="14" fontId="12" fillId="0" borderId="1" pivotButton="0" quotePrefix="0" xfId="0"/>
    <xf numFmtId="14" fontId="0" fillId="0" borderId="0" pivotButton="0" quotePrefix="0" xfId="0"/>
    <xf numFmtId="0" fontId="19" fillId="0" borderId="0" pivotButton="0" quotePrefix="0" xfId="0"/>
    <xf numFmtId="0" fontId="20" fillId="0" borderId="0" applyAlignment="1" pivotButton="0" quotePrefix="0" xfId="0">
      <alignment vertical="top" wrapText="1"/>
    </xf>
    <xf numFmtId="0" fontId="21" fillId="0" borderId="0" pivotButton="0" quotePrefix="0" xfId="0"/>
    <xf numFmtId="14" fontId="22" fillId="0" borderId="0" applyAlignment="1" pivotButton="0" quotePrefix="0" xfId="0">
      <alignment horizontal="left"/>
    </xf>
    <xf numFmtId="0" fontId="21" fillId="0" borderId="0" applyAlignment="1" pivotButton="0" quotePrefix="0" xfId="0">
      <alignment horizontal="center"/>
    </xf>
    <xf numFmtId="14" fontId="21" fillId="0" borderId="0" pivotButton="0" quotePrefix="0" xfId="0"/>
    <xf numFmtId="0" fontId="20" fillId="0" borderId="1" applyAlignment="1" pivotButton="0" quotePrefix="0" xfId="0">
      <alignment horizontal="center" vertical="center"/>
    </xf>
    <xf numFmtId="0" fontId="20" fillId="0" borderId="1" applyAlignment="1" pivotButton="0" quotePrefix="0" xfId="0">
      <alignment horizontal="left" vertical="center" wrapText="1"/>
    </xf>
    <xf numFmtId="0" fontId="20" fillId="4" borderId="1" applyAlignment="1" pivotButton="0" quotePrefix="0" xfId="0">
      <alignment horizontal="center" vertical="center"/>
    </xf>
    <xf numFmtId="14" fontId="20" fillId="0" borderId="1" applyAlignment="1" pivotButton="0" quotePrefix="0" xfId="0">
      <alignment horizontal="center" vertical="center"/>
    </xf>
    <xf numFmtId="0" fontId="20" fillId="6" borderId="1" applyAlignment="1" pivotButton="0" quotePrefix="0" xfId="0">
      <alignment horizontal="center" vertical="center"/>
    </xf>
    <xf numFmtId="0" fontId="20" fillId="6" borderId="1" applyAlignment="1" pivotButton="0" quotePrefix="0" xfId="0">
      <alignment horizontal="left" vertical="center" wrapText="1"/>
    </xf>
    <xf numFmtId="0" fontId="20" fillId="5" borderId="1" applyAlignment="1" pivotButton="0" quotePrefix="0" xfId="0">
      <alignment horizontal="center" vertical="center"/>
    </xf>
    <xf numFmtId="0" fontId="23" fillId="0" borderId="1" applyAlignment="1" pivotButton="0" quotePrefix="0" xfId="0">
      <alignment horizontal="left" vertical="center" wrapText="1"/>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9" borderId="1" applyAlignment="1" pivotButton="0" quotePrefix="0" xfId="0">
      <alignment horizontal="center" vertical="center"/>
    </xf>
    <xf numFmtId="0" fontId="21"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Plan</author>
  </authors>
  <commentList>
    <comment ref="E3" authorId="0" shapeId="0">
      <text>
        <t>Input — the Plan sheet's original start (T001, 09/28/26). Change it and every date below moves.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F19:I23"/>
  <sheetViews>
    <sheetView showGridLines="0" topLeftCell="B1" workbookViewId="0">
      <selection activeCell="E19" sqref="E19"/>
    </sheetView>
  </sheetViews>
  <sheetFormatPr baseColWidth="8" defaultRowHeight="14.4"/>
  <cols>
    <col width="41.5546875" customWidth="1" min="5" max="5"/>
  </cols>
  <sheetData>
    <row r="19">
      <c r="F19" s="52" t="n"/>
      <c r="G19" s="52" t="n"/>
      <c r="H19" s="52" t="n"/>
      <c r="I19" s="52" t="n"/>
    </row>
    <row r="20">
      <c r="F20" s="52" t="n"/>
      <c r="G20" s="52" t="n"/>
      <c r="H20" s="52" t="n"/>
      <c r="I20" s="52" t="n"/>
    </row>
    <row r="21">
      <c r="F21" s="52" t="n"/>
      <c r="G21" s="52" t="n"/>
      <c r="H21" s="52" t="n"/>
      <c r="I21" s="52" t="n"/>
    </row>
    <row r="22">
      <c r="F22" s="52" t="n"/>
      <c r="G22" s="52" t="n"/>
      <c r="H22" s="52" t="n"/>
      <c r="I22" s="52" t="n"/>
    </row>
    <row r="23">
      <c r="F23" s="52" t="n"/>
      <c r="G23" s="52" t="n"/>
      <c r="H23" s="52" t="n"/>
      <c r="I23" s="5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0"/>
  <sheetViews>
    <sheetView showGridLines="0" topLeftCell="A16" workbookViewId="0">
      <selection activeCell="B4" sqref="B4"/>
    </sheetView>
  </sheetViews>
  <sheetFormatPr baseColWidth="8" defaultColWidth="8.6640625" defaultRowHeight="14.4"/>
  <cols>
    <col width="7" customWidth="1" style="6" min="1" max="1"/>
    <col width="70" customWidth="1" style="6" min="2" max="2"/>
    <col width="28" customWidth="1" style="6" min="3" max="3"/>
    <col width="50" customWidth="1" style="6" min="4" max="4"/>
    <col width="16" customWidth="1" style="6" min="5" max="5"/>
    <col width="30" customWidth="1" style="6" min="6" max="6"/>
    <col width="8.6640625" customWidth="1" style="6" min="7" max="16384"/>
  </cols>
  <sheetData>
    <row r="1">
      <c r="A1" s="8" t="inlineStr">
        <is>
          <t>Decisions Required Before Build</t>
        </is>
      </c>
    </row>
    <row r="2" ht="30" customHeight="1">
      <c r="A2" s="9" t="inlineStr">
        <is>
          <t>These change estimates if answered differently from the recommendation. Close them in P0 (task T001).</t>
        </is>
      </c>
    </row>
    <row r="3">
      <c r="A3" s="10" t="inlineStr">
        <is>
          <t>ID</t>
        </is>
      </c>
      <c r="B3" s="10" t="inlineStr">
        <is>
          <t>Decision / Question</t>
        </is>
      </c>
      <c r="C3" s="10" t="inlineStr">
        <is>
          <t>Impacted Areas</t>
        </is>
      </c>
      <c r="D3" s="10" t="inlineStr">
        <is>
          <t>Suggestion</t>
        </is>
      </c>
      <c r="E3" s="10" t="inlineStr">
        <is>
          <t>Owner</t>
        </is>
      </c>
      <c r="F3" s="10" t="inlineStr">
        <is>
          <t>Decision (to fill)</t>
        </is>
      </c>
    </row>
    <row r="4" ht="72" customFormat="1" customHeight="1" s="6">
      <c r="A4" s="14" t="inlineStr">
        <is>
          <t>D-01</t>
        </is>
      </c>
      <c r="B4" s="7" t="inlineStr">
        <is>
          <t>Decide on whether to get the claim level / line level data</t>
        </is>
      </c>
      <c r="C4" s="15" t="n"/>
      <c r="D4" s="7" t="inlineStr">
        <is>
          <t>We need to the line level data in order to display the CPT level denials. 
The line level data is already in the old denial workflow, we need to additionally add the No Response claims</t>
        </is>
      </c>
      <c r="E4" s="12" t="n"/>
      <c r="F4" s="5" t="inlineStr">
        <is>
          <t>Get the line level data and group it up at a claim level on the Queues</t>
        </is>
      </c>
    </row>
    <row r="5" ht="43.2" customFormat="1" customHeight="1" s="6">
      <c r="A5" s="14" t="inlineStr">
        <is>
          <t>D-02</t>
        </is>
      </c>
      <c r="B5" s="7" t="inlineStr">
        <is>
          <t>We need to sync the entire claim level data for the denials (Frequency : Weekly)
If we only sync the data based on the denial insights how will we get the No Response claims?</t>
        </is>
      </c>
      <c r="C5" s="15" t="n"/>
      <c r="D5" s="7" t="n"/>
      <c r="E5" s="12" t="n"/>
      <c r="F5" s="4" t="n"/>
    </row>
    <row r="6" ht="28.8" customFormat="1" customHeight="1" s="6">
      <c r="A6" s="14" t="inlineStr">
        <is>
          <t>D-03</t>
        </is>
      </c>
      <c r="B6" s="7" t="inlineStr">
        <is>
          <t>Claims with multiple denial categories: which category drives the queue and dashboard (priority ranking)?</t>
        </is>
      </c>
      <c r="C6" s="13" t="inlineStr">
        <is>
          <t>Classification, dashboard counts</t>
        </is>
      </c>
      <c r="D6" s="13" t="inlineStr">
        <is>
          <t>Use Denial-Action Master priority to pick primary category.</t>
        </is>
      </c>
      <c r="E6" s="12" t="n"/>
      <c r="F6" s="4" t="inlineStr">
        <is>
          <t>Logic yet to be decided</t>
        </is>
      </c>
    </row>
    <row r="7" ht="28.8" customFormat="1" customHeight="1" s="6">
      <c r="A7" s="14" t="inlineStr">
        <is>
          <t>D-04</t>
        </is>
      </c>
      <c r="B7" s="7" t="inlineStr">
        <is>
          <t>Get logic for AR Work Queue, Recovery Amount, Recovered Amount, Balance Recovery Amount, Recovery Rate calculations</t>
        </is>
      </c>
      <c r="C7" s="15" t="n"/>
      <c r="D7" s="4" t="n"/>
      <c r="E7" s="12" t="n"/>
      <c r="F7" s="4" t="n"/>
    </row>
    <row r="8" customFormat="1" s="6">
      <c r="A8" s="14" t="inlineStr">
        <is>
          <t>D-05</t>
        </is>
      </c>
      <c r="B8" s="7" t="inlineStr">
        <is>
          <t>When does a claim get closed?</t>
        </is>
      </c>
      <c r="C8" s="15" t="n"/>
      <c r="D8" s="4" t="n"/>
      <c r="E8" s="12" t="n"/>
      <c r="F8" s="4" t="n"/>
    </row>
    <row r="9" customFormat="1" s="6">
      <c r="A9" s="14" t="inlineStr">
        <is>
          <t>D-06</t>
        </is>
      </c>
      <c r="B9" s="7" t="inlineStr">
        <is>
          <t>What happens to the Ins Balance amount when the claim is closed?</t>
        </is>
      </c>
      <c r="C9" s="15" t="n"/>
      <c r="D9" s="4" t="n"/>
      <c r="E9" s="12" t="n"/>
      <c r="F9" s="4" t="n"/>
    </row>
    <row r="10" ht="28.8" customHeight="1">
      <c r="A10" s="14" t="inlineStr">
        <is>
          <t>D-07</t>
        </is>
      </c>
      <c r="B10" s="13" t="inlineStr">
        <is>
          <t>Do we need keep the notes at a CPT level or claim level?</t>
        </is>
      </c>
      <c r="C10" s="13" t="inlineStr">
        <is>
          <t>Assignment, follow-up, QA, reporting</t>
        </is>
      </c>
      <c r="D10" s="13" t="inlineStr">
        <is>
          <t>Keep assignment at claim level, notes at line level.</t>
        </is>
      </c>
      <c r="E10" s="13" t="inlineStr">
        <is>
          <t>RSKP / Reporting Team</t>
        </is>
      </c>
      <c r="F10" s="13" t="n"/>
    </row>
    <row r="11" ht="28.8" customHeight="1">
      <c r="A11" s="14" t="inlineStr">
        <is>
          <t>D-08</t>
        </is>
      </c>
      <c r="B11" s="13" t="inlineStr">
        <is>
          <t>Recovery definition: what counts as 'Total Recovered' (payment posted after first AR activity?) and 'Potential Recovery'?</t>
        </is>
      </c>
      <c r="C11" s="13" t="inlineStr">
        <is>
          <t>Dashboard, analytics, reports</t>
        </is>
      </c>
      <c r="D11" s="13" t="inlineStr">
        <is>
          <t>Payment posted after first AR activity date = recovered.</t>
        </is>
      </c>
      <c r="E11" s="13" t="inlineStr">
        <is>
          <t>RSKP / Reporting Team</t>
        </is>
      </c>
      <c r="F11" s="13" t="n"/>
    </row>
    <row r="12" ht="28.8" customHeight="1">
      <c r="A12" s="14" t="inlineStr">
        <is>
          <t>D-09</t>
        </is>
      </c>
      <c r="B12" s="13" t="inlineStr">
        <is>
          <t>Payment refresh happens every week during the master file sync for recovered amount and remaining AR (master file sync weekly?).</t>
        </is>
      </c>
      <c r="C12" s="13" t="inlineStr">
        <is>
          <t>Data model, ETL</t>
        </is>
      </c>
      <c r="D12" s="13" t="inlineStr">
        <is>
          <t>Weekly PMS AR export aligned to denial refresh.</t>
        </is>
      </c>
      <c r="E12" s="13" t="inlineStr">
        <is>
          <t>RSKP / Reporting Team</t>
        </is>
      </c>
      <c r="F12" s="13" t="n"/>
    </row>
    <row r="13" ht="43.2" customHeight="1">
      <c r="A13" s="14" t="inlineStr">
        <is>
          <t>D-10</t>
        </is>
      </c>
      <c r="B13" s="13" t="inlineStr">
        <is>
          <t>Escalation hierarchy: redesign lets the Agent start a client escalation (CIP) that a Lead/Manager approves; locked DWMS rule is Analyst &gt; Manager internal only, Manager &gt; Account/Client Manager external only. Which rule wins?</t>
        </is>
      </c>
      <c r="C13" s="13" t="inlineStr">
        <is>
          <t>Escalations, CIP</t>
        </is>
      </c>
      <c r="D13" s="13" t="inlineStr">
        <is>
          <t>Keep manager approval gate: Agent requests, Manager approves - satisfies both.</t>
        </is>
      </c>
      <c r="E13" s="13" t="inlineStr">
        <is>
          <t>RSKP / Reporting Team</t>
        </is>
      </c>
      <c r="F13" s="13" t="n"/>
    </row>
    <row r="14" ht="28.8" customHeight="1">
      <c r="A14" s="14" t="inlineStr">
        <is>
          <t>D-11</t>
        </is>
      </c>
      <c r="B14" s="13" t="inlineStr">
        <is>
          <t>Authoritative follow-up due date: NextFollowUpDate vs ExpectedResponseDate; configurable TAT per action (Appeal, Rebill, Write-off)?</t>
        </is>
      </c>
      <c r="C14" s="13" t="inlineStr">
        <is>
          <t>Follow-up queue, SLA, overdue KPI</t>
        </is>
      </c>
      <c r="D14" s="13" t="inlineStr">
        <is>
          <t>Single next-follow-up date; TAT table by action category.</t>
        </is>
      </c>
      <c r="E14" s="13" t="inlineStr">
        <is>
          <t>RSKP / Reporting Team</t>
        </is>
      </c>
      <c r="F14" s="13" t="n"/>
    </row>
    <row r="15" ht="28.8" customHeight="1">
      <c r="A15" s="14" t="inlineStr">
        <is>
          <t>D-12</t>
        </is>
      </c>
      <c r="B15" s="13" t="inlineStr">
        <is>
          <t>If we have a configurable TAT for the actions do we need Due Date in the Batch Assignment?</t>
        </is>
      </c>
      <c r="C15" s="13" t="n"/>
      <c r="D15" s="13" t="n"/>
      <c r="E15" s="13" t="n"/>
      <c r="F15" s="13" t="n"/>
    </row>
    <row r="16" ht="28.8" customHeight="1">
      <c r="A16" s="14" t="inlineStr">
        <is>
          <t>D-13</t>
        </is>
      </c>
      <c r="B16" s="13" t="inlineStr">
        <is>
          <t xml:space="preserve">Write-offs: keep Write-Off Pending Approval? </t>
        </is>
      </c>
      <c r="C16" s="13" t="inlineStr">
        <is>
          <t>Write-off control, audit</t>
        </is>
      </c>
      <c r="D16" s="13" t="inlineStr">
        <is>
          <t>Keep approval queue; auto-adjust closes workflow item only.</t>
        </is>
      </c>
      <c r="E16" s="13" t="inlineStr">
        <is>
          <t>RSKP / Reporting Team</t>
        </is>
      </c>
      <c r="F16" s="13" t="n"/>
    </row>
    <row r="17" ht="28.8" customHeight="1">
      <c r="A17" s="14" t="inlineStr">
        <is>
          <t>D-14</t>
        </is>
      </c>
      <c r="B17" s="13" t="inlineStr">
        <is>
          <t xml:space="preserve">As per the document the Insurance Balance is Zeroed out for Auto Ajusted claims, what happens if the same claims comes up in the next batch sync in the denial? </t>
        </is>
      </c>
      <c r="C17" s="13" t="inlineStr">
        <is>
          <t>Auto Adjustment</t>
        </is>
      </c>
      <c r="D17" s="13" t="n"/>
      <c r="E17" s="13" t="n"/>
      <c r="F17" s="13" t="n"/>
    </row>
    <row r="18" ht="28.8" customHeight="1">
      <c r="A18" s="14" t="inlineStr">
        <is>
          <t>D-15</t>
        </is>
      </c>
      <c r="B18" s="13" t="inlineStr">
        <is>
          <t>If we ever reactivate the client we will only have the old data we would need to refresh the data?</t>
        </is>
      </c>
      <c r="C18" s="13" t="inlineStr">
        <is>
          <t>Client management</t>
        </is>
      </c>
      <c r="D18" s="13" t="inlineStr">
        <is>
          <t>Stop sync and hide from selectors; retain data.</t>
        </is>
      </c>
      <c r="E18" s="13" t="inlineStr">
        <is>
          <t>RSKP / Reporting Team</t>
        </is>
      </c>
      <c r="F18" s="13" t="n"/>
    </row>
    <row r="19" ht="28.8" customHeight="1">
      <c r="A19" s="14" t="inlineStr">
        <is>
          <t>D-16</t>
        </is>
      </c>
      <c r="B19" s="3" t="inlineStr">
        <is>
          <t>Do we add a category drop down picker for Escalations, Request Reassignment so we can categorize them later</t>
        </is>
      </c>
      <c r="C19" s="2" t="n"/>
      <c r="D19" s="2" t="n"/>
      <c r="E19" s="2" t="n"/>
      <c r="F19" s="2" t="n"/>
    </row>
    <row r="20">
      <c r="A20" s="14" t="inlineStr">
        <is>
          <t>D-17</t>
        </is>
      </c>
      <c r="B20" s="2" t="inlineStr">
        <is>
          <t>What is the logic for the Recovery Status?</t>
        </is>
      </c>
      <c r="C20" s="2" t="n"/>
      <c r="D20" s="2" t="n"/>
      <c r="E20" s="2" t="n"/>
      <c r="F20" s="2" t="n"/>
    </row>
  </sheetData>
  <mergeCells count="1">
    <mergeCell ref="A2:E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L245"/>
  <sheetViews>
    <sheetView showGridLines="0" tabSelected="1" workbookViewId="0">
      <selection activeCell="B3" sqref="B3"/>
    </sheetView>
  </sheetViews>
  <sheetFormatPr baseColWidth="8" defaultRowHeight="13.8"/>
  <cols>
    <col width="8.88671875" customWidth="1" style="34" min="1" max="1"/>
    <col width="9.44140625" bestFit="1" customWidth="1" style="34" min="2" max="2"/>
    <col width="8.88671875" customWidth="1" style="34" min="3" max="3"/>
    <col width="40.21875" customWidth="1" style="34" min="4" max="4"/>
    <col width="72" customWidth="1" style="30" min="5" max="5"/>
    <col width="13.33203125" customWidth="1" style="30" min="6" max="6"/>
    <col width="16" bestFit="1" customWidth="1" style="34" min="7" max="7"/>
    <col width="19.6640625" bestFit="1" customWidth="1" style="47" min="8" max="8"/>
    <col width="19.109375" bestFit="1" customWidth="1" style="34" min="9" max="9"/>
    <col width="10.109375" bestFit="1" customWidth="1" style="34" min="10" max="10"/>
    <col width="10.33203125" bestFit="1" customWidth="1" style="34" min="11" max="11"/>
    <col width="29.5546875" customWidth="1" style="34" min="12" max="12"/>
    <col width="8.88671875" customWidth="1" style="34" min="13" max="16384"/>
  </cols>
  <sheetData>
    <row r="2">
      <c r="H2" s="47">
        <f>SUM(H4:H85)</f>
        <v/>
      </c>
    </row>
    <row r="3" customFormat="1" s="23">
      <c r="B3" s="16" t="inlineStr">
        <is>
          <t>Module ID</t>
        </is>
      </c>
      <c r="C3" s="16" t="inlineStr">
        <is>
          <t>Task ID</t>
        </is>
      </c>
      <c r="D3" s="16" t="inlineStr">
        <is>
          <t>Module Name</t>
        </is>
      </c>
      <c r="E3" s="17" t="inlineStr">
        <is>
          <t>Module Name</t>
        </is>
      </c>
      <c r="F3" s="17" t="inlineStr">
        <is>
          <t>Phase</t>
        </is>
      </c>
      <c r="G3" s="16" t="inlineStr">
        <is>
          <t>Task / Deliverable</t>
        </is>
      </c>
      <c r="H3" s="16" t="inlineStr">
        <is>
          <t>Estimated No. of Days</t>
        </is>
      </c>
      <c r="I3" s="16" t="inlineStr">
        <is>
          <t>Module Classification</t>
        </is>
      </c>
      <c r="J3" s="16" t="inlineStr">
        <is>
          <t>Start Date</t>
        </is>
      </c>
      <c r="K3" s="16" t="inlineStr">
        <is>
          <t>End Date</t>
        </is>
      </c>
      <c r="L3" s="16" t="inlineStr">
        <is>
          <t>Remarks</t>
        </is>
      </c>
    </row>
    <row r="4" ht="14.4" customFormat="1" customHeight="1" s="34">
      <c r="B4" s="53" t="inlineStr">
        <is>
          <t>M01</t>
        </is>
      </c>
      <c r="C4" s="53" t="inlineStr">
        <is>
          <t>T001</t>
        </is>
      </c>
      <c r="D4" s="35" t="inlineStr">
        <is>
          <t>Decision &amp; Logics Workshop</t>
        </is>
      </c>
      <c r="E4" s="35" t="inlineStr">
        <is>
          <t>Get the open clarifiations answered by the team</t>
        </is>
      </c>
      <c r="F4" s="54" t="inlineStr">
        <is>
          <t>P0</t>
        </is>
      </c>
      <c r="G4" s="21" t="n"/>
      <c r="H4" s="39" t="n">
        <v>2</v>
      </c>
      <c r="I4" s="21" t="n"/>
      <c r="J4" s="46" t="n">
        <v>46293</v>
      </c>
      <c r="K4" s="46" t="n">
        <v>46294</v>
      </c>
      <c r="L4" s="36" t="n"/>
    </row>
    <row r="5" ht="14.4" customFormat="1" customHeight="1" s="34">
      <c r="B5" s="53" t="inlineStr">
        <is>
          <t>M02</t>
        </is>
      </c>
      <c r="C5" s="53" t="inlineStr">
        <is>
          <t>T002</t>
        </is>
      </c>
      <c r="D5" s="42" t="inlineStr">
        <is>
          <t>Data Processing &amp; Denial Analysis Report</t>
        </is>
      </c>
      <c r="E5" s="42" t="inlineStr">
        <is>
          <t>Create a AR Claim Level Data table</t>
        </is>
      </c>
      <c r="F5" s="54" t="inlineStr">
        <is>
          <t>P1</t>
        </is>
      </c>
      <c r="G5" s="21" t="n"/>
      <c r="H5" s="40" t="n">
        <v>0.5</v>
      </c>
      <c r="I5" s="21" t="n"/>
      <c r="J5" s="46" t="n">
        <v>46295</v>
      </c>
      <c r="K5" s="46" t="n">
        <v>46301</v>
      </c>
      <c r="L5" s="36" t="n"/>
    </row>
    <row r="6" ht="27.6" customFormat="1" customHeight="1" s="23">
      <c r="B6" s="53" t="inlineStr">
        <is>
          <t>M02</t>
        </is>
      </c>
      <c r="C6" s="53" t="inlineStr">
        <is>
          <t>T003</t>
        </is>
      </c>
      <c r="D6" s="42" t="inlineStr">
        <is>
          <t>Data Processing &amp; Denial Analysis Report</t>
        </is>
      </c>
      <c r="E6" s="35" t="inlineStr">
        <is>
          <t>Sync the AR claim level data from claim level data table 
Fully denied + Partially Denied + Patient Responsibility + No Response</t>
        </is>
      </c>
      <c r="F6" s="54" t="inlineStr">
        <is>
          <t>P1</t>
        </is>
      </c>
      <c r="G6" s="21" t="n"/>
      <c r="H6" s="21" t="n">
        <v>0.5</v>
      </c>
      <c r="I6" s="21" t="n"/>
      <c r="J6" s="46" t="n">
        <v>46295</v>
      </c>
      <c r="K6" s="46" t="n">
        <v>46301</v>
      </c>
      <c r="L6" s="37" t="n"/>
    </row>
    <row r="7" ht="41.4" customHeight="1">
      <c r="B7" s="53" t="inlineStr">
        <is>
          <t>M02</t>
        </is>
      </c>
      <c r="C7" s="53" t="inlineStr">
        <is>
          <t>T004</t>
        </is>
      </c>
      <c r="D7" s="42" t="inlineStr">
        <is>
          <t>Data Processing &amp; Denial Analysis Report</t>
        </is>
      </c>
      <c r="E7" s="35" t="inlineStr">
        <is>
          <t>Claim details mapping
Header Details | Overview Details | CPT \ Line Level Details | Denial Details | DOS | $ Values | CPT Details</t>
        </is>
      </c>
      <c r="F7" s="54" t="inlineStr">
        <is>
          <t>P1</t>
        </is>
      </c>
      <c r="G7" s="21" t="n"/>
      <c r="H7" s="21" t="n">
        <v>0.5</v>
      </c>
      <c r="I7" s="21" t="n"/>
      <c r="J7" s="46" t="n">
        <v>46295</v>
      </c>
      <c r="K7" s="46" t="n">
        <v>46301</v>
      </c>
      <c r="L7" s="36" t="n"/>
    </row>
    <row r="8">
      <c r="B8" s="53" t="inlineStr">
        <is>
          <t>M02</t>
        </is>
      </c>
      <c r="C8" s="53" t="inlineStr">
        <is>
          <t>T005</t>
        </is>
      </c>
      <c r="D8" s="42" t="inlineStr">
        <is>
          <t>Data Processing &amp; Denial Analysis Report</t>
        </is>
      </c>
      <c r="E8" s="35" t="inlineStr">
        <is>
          <t>Create a AR Denial Insights table</t>
        </is>
      </c>
      <c r="F8" s="54" t="inlineStr">
        <is>
          <t>P1</t>
        </is>
      </c>
      <c r="G8" s="21" t="n"/>
      <c r="H8" s="21" t="n">
        <v>0.5</v>
      </c>
      <c r="I8" s="21" t="n"/>
      <c r="J8" s="46" t="n">
        <v>46295</v>
      </c>
      <c r="K8" s="46" t="n">
        <v>46301</v>
      </c>
      <c r="L8" s="36" t="n"/>
    </row>
    <row r="9" ht="27.6" customHeight="1">
      <c r="B9" s="53" t="inlineStr">
        <is>
          <t>M02</t>
        </is>
      </c>
      <c r="C9" s="53" t="inlineStr">
        <is>
          <t>T006</t>
        </is>
      </c>
      <c r="D9" s="42" t="inlineStr">
        <is>
          <t>Data Processing &amp; Denial Analysis Report</t>
        </is>
      </c>
      <c r="E9" s="35" t="inlineStr">
        <is>
          <t>Sync the denial insights from denial summary report to the AR Denial Insights table
Current Week + Previous Week</t>
        </is>
      </c>
      <c r="F9" s="54" t="inlineStr">
        <is>
          <t>P1</t>
        </is>
      </c>
      <c r="G9" s="21" t="n"/>
      <c r="H9" s="21" t="n">
        <v>0.5</v>
      </c>
      <c r="I9" s="21" t="n"/>
      <c r="J9" s="46" t="n">
        <v>46295</v>
      </c>
      <c r="K9" s="46" t="n">
        <v>46301</v>
      </c>
      <c r="L9" s="36" t="n"/>
    </row>
    <row r="10">
      <c r="B10" s="53" t="inlineStr">
        <is>
          <t>M02</t>
        </is>
      </c>
      <c r="C10" s="53" t="inlineStr">
        <is>
          <t>T007</t>
        </is>
      </c>
      <c r="D10" s="42" t="inlineStr">
        <is>
          <t>Data Processing &amp; Denial Analysis Report</t>
        </is>
      </c>
      <c r="E10" s="35" t="inlineStr">
        <is>
          <t>Maintain the week stamp in the AR denial insights table</t>
        </is>
      </c>
      <c r="F10" s="54" t="inlineStr">
        <is>
          <t>P1</t>
        </is>
      </c>
      <c r="G10" s="21" t="n"/>
      <c r="H10" s="21" t="n">
        <v>0.15</v>
      </c>
      <c r="I10" s="21" t="n"/>
      <c r="J10" s="46" t="n">
        <v>46295</v>
      </c>
      <c r="K10" s="46" t="n">
        <v>46301</v>
      </c>
      <c r="L10" s="36" t="n"/>
    </row>
    <row r="11">
      <c r="B11" s="53" t="inlineStr">
        <is>
          <t>M02</t>
        </is>
      </c>
      <c r="C11" s="53" t="inlineStr">
        <is>
          <t>T008</t>
        </is>
      </c>
      <c r="D11" s="42" t="inlineStr">
        <is>
          <t>Data Processing &amp; Denial Analysis Report</t>
        </is>
      </c>
      <c r="E11" s="35" t="inlineStr">
        <is>
          <t>Sync the latest denial insights when Run Data Processing is clicked</t>
        </is>
      </c>
      <c r="F11" s="54" t="inlineStr">
        <is>
          <t>P1</t>
        </is>
      </c>
      <c r="G11" s="21" t="n"/>
      <c r="H11" s="21" t="n">
        <v>0.25</v>
      </c>
      <c r="I11" s="21" t="n"/>
      <c r="J11" s="46" t="n">
        <v>46295</v>
      </c>
      <c r="K11" s="46" t="n">
        <v>46301</v>
      </c>
      <c r="L11" s="36" t="n"/>
    </row>
    <row r="12" ht="27.6" customHeight="1">
      <c r="B12" s="53" t="inlineStr">
        <is>
          <t>M02</t>
        </is>
      </c>
      <c r="C12" s="53" t="inlineStr">
        <is>
          <t>T009</t>
        </is>
      </c>
      <c r="D12" s="42" t="inlineStr">
        <is>
          <t>Data Processing &amp; Denial Analysis Report</t>
        </is>
      </c>
      <c r="E12" s="25" t="inlineStr">
        <is>
          <t>Data Processing screen: refresh status, source period, record count, Run Data Processing (sync + reclassify job)</t>
        </is>
      </c>
      <c r="F12" s="54" t="inlineStr">
        <is>
          <t>P1</t>
        </is>
      </c>
      <c r="G12" s="21" t="n"/>
      <c r="H12" s="21" t="n">
        <v>0.1</v>
      </c>
      <c r="I12" s="21" t="n"/>
      <c r="J12" s="46" t="n">
        <v>46295</v>
      </c>
      <c r="K12" s="46" t="n">
        <v>46301</v>
      </c>
      <c r="L12" s="36" t="n"/>
    </row>
    <row r="13" ht="27.6" customHeight="1">
      <c r="B13" s="53" t="inlineStr">
        <is>
          <t>M02</t>
        </is>
      </c>
      <c r="C13" s="53" t="inlineStr">
        <is>
          <t>T010</t>
        </is>
      </c>
      <c r="D13" s="42" t="inlineStr">
        <is>
          <t>Data Processing &amp; Denial Analysis Report</t>
        </is>
      </c>
      <c r="E13" s="25" t="inlineStr">
        <is>
          <t>Denial Analysis Report (reuse weekly Denial Insights) with drill-through to Work Queue for assignment</t>
        </is>
      </c>
      <c r="F13" s="54" t="inlineStr">
        <is>
          <t>P1</t>
        </is>
      </c>
      <c r="G13" s="21" t="n"/>
      <c r="H13" s="21" t="n">
        <v>0.25</v>
      </c>
      <c r="I13" s="21" t="n"/>
      <c r="J13" s="46" t="n">
        <v>46295</v>
      </c>
      <c r="K13" s="46" t="n">
        <v>46301</v>
      </c>
      <c r="L13" s="36" t="n"/>
    </row>
    <row r="14">
      <c r="B14" s="53" t="inlineStr">
        <is>
          <t>M02</t>
        </is>
      </c>
      <c r="C14" s="53" t="inlineStr">
        <is>
          <t>T011</t>
        </is>
      </c>
      <c r="D14" s="42" t="inlineStr">
        <is>
          <t>Data Processing &amp; Denial Analysis Report</t>
        </is>
      </c>
      <c r="E14" s="36" t="inlineStr">
        <is>
          <t>Redirect the user to Denial &amp; AR Workqueue when "Route to Work Queue" is clicked</t>
        </is>
      </c>
      <c r="F14" s="54" t="inlineStr">
        <is>
          <t>P1</t>
        </is>
      </c>
      <c r="G14" s="21" t="n"/>
      <c r="H14" s="21" t="n">
        <v>0.15</v>
      </c>
      <c r="I14" s="21" t="n"/>
      <c r="J14" s="57" t="n">
        <v>46295</v>
      </c>
      <c r="K14" s="46" t="n">
        <v>46301</v>
      </c>
      <c r="L14" s="36" t="n"/>
    </row>
    <row r="15">
      <c r="B15" s="53" t="inlineStr">
        <is>
          <t>M03</t>
        </is>
      </c>
      <c r="C15" s="53" t="inlineStr">
        <is>
          <t>T012</t>
        </is>
      </c>
      <c r="D15" s="35" t="inlineStr">
        <is>
          <t>System Settings</t>
        </is>
      </c>
      <c r="E15" s="35" t="inlineStr">
        <is>
          <t>Denial Category master</t>
        </is>
      </c>
      <c r="F15" s="54" t="inlineStr">
        <is>
          <t>P1</t>
        </is>
      </c>
      <c r="G15" s="21" t="n"/>
      <c r="H15" s="21" t="n">
        <v>0.25</v>
      </c>
      <c r="I15" s="21" t="n"/>
      <c r="J15" s="46" t="n">
        <v>46302</v>
      </c>
      <c r="K15" s="46" t="n">
        <v>46307</v>
      </c>
      <c r="L15" s="36" t="n"/>
    </row>
    <row r="16">
      <c r="B16" s="53" t="inlineStr">
        <is>
          <t>M03</t>
        </is>
      </c>
      <c r="C16" s="53" t="inlineStr">
        <is>
          <t>T013</t>
        </is>
      </c>
      <c r="D16" s="35" t="inlineStr">
        <is>
          <t>System Settings</t>
        </is>
      </c>
      <c r="E16" s="35" t="inlineStr">
        <is>
          <t>Timely Filling Master</t>
        </is>
      </c>
      <c r="F16" s="54" t="inlineStr">
        <is>
          <t>P1</t>
        </is>
      </c>
      <c r="G16" s="21" t="n"/>
      <c r="H16" s="21" t="n">
        <v>0.25</v>
      </c>
      <c r="I16" s="21" t="n"/>
      <c r="J16" s="46" t="n">
        <v>46302</v>
      </c>
      <c r="K16" s="46" t="n">
        <v>46307</v>
      </c>
      <c r="L16" s="36" t="n"/>
    </row>
    <row r="17">
      <c r="B17" s="53" t="inlineStr">
        <is>
          <t>M03</t>
        </is>
      </c>
      <c r="C17" s="53" t="inlineStr">
        <is>
          <t>T014</t>
        </is>
      </c>
      <c r="D17" s="35" t="inlineStr">
        <is>
          <t>System Settings</t>
        </is>
      </c>
      <c r="E17" s="35" t="inlineStr">
        <is>
          <t>Non Collectible Denial Code Master</t>
        </is>
      </c>
      <c r="F17" s="54" t="inlineStr">
        <is>
          <t>P1</t>
        </is>
      </c>
      <c r="G17" s="21" t="n"/>
      <c r="H17" s="21" t="n">
        <v>0.25</v>
      </c>
      <c r="I17" s="21" t="n"/>
      <c r="J17" s="46" t="n">
        <v>46302</v>
      </c>
      <c r="K17" s="46" t="n">
        <v>46307</v>
      </c>
      <c r="L17" s="36" t="n"/>
    </row>
    <row r="18">
      <c r="B18" s="53" t="inlineStr">
        <is>
          <t>M03</t>
        </is>
      </c>
      <c r="C18" s="53" t="inlineStr">
        <is>
          <t>T015</t>
        </is>
      </c>
      <c r="D18" s="35" t="inlineStr">
        <is>
          <t>System Settings</t>
        </is>
      </c>
      <c r="E18" s="35" t="inlineStr">
        <is>
          <t>Follow up Notes Field Master | Claim Type, Followup Type, Claim Status</t>
        </is>
      </c>
      <c r="F18" s="54" t="inlineStr">
        <is>
          <t>P1</t>
        </is>
      </c>
      <c r="G18" s="21" t="n"/>
      <c r="H18" s="21" t="n">
        <v>0.25</v>
      </c>
      <c r="I18" s="21" t="n"/>
      <c r="J18" s="46" t="n">
        <v>46302</v>
      </c>
      <c r="K18" s="46" t="n">
        <v>46307</v>
      </c>
      <c r="L18" s="36" t="n"/>
    </row>
    <row r="19">
      <c r="B19" s="53" t="inlineStr">
        <is>
          <t>M03</t>
        </is>
      </c>
      <c r="C19" s="53" t="inlineStr">
        <is>
          <t>T016</t>
        </is>
      </c>
      <c r="D19" s="35" t="inlineStr">
        <is>
          <t>System Settings</t>
        </is>
      </c>
      <c r="E19" s="35" t="inlineStr">
        <is>
          <t>Panel Type Master</t>
        </is>
      </c>
      <c r="F19" s="54" t="inlineStr">
        <is>
          <t>P1</t>
        </is>
      </c>
      <c r="G19" s="21" t="n"/>
      <c r="H19" s="21" t="n">
        <v>0.25</v>
      </c>
      <c r="I19" s="21" t="n"/>
      <c r="J19" s="46" t="n">
        <v>46302</v>
      </c>
      <c r="K19" s="46" t="n">
        <v>46307</v>
      </c>
      <c r="L19" s="36" t="n"/>
    </row>
    <row r="20">
      <c r="B20" s="53" t="inlineStr">
        <is>
          <t>M03</t>
        </is>
      </c>
      <c r="C20" s="53" t="inlineStr">
        <is>
          <t>T017</t>
        </is>
      </c>
      <c r="D20" s="35" t="inlineStr">
        <is>
          <t>System Settings</t>
        </is>
      </c>
      <c r="E20" s="35" t="inlineStr">
        <is>
          <t>Denial Route Cause Master</t>
        </is>
      </c>
      <c r="F20" s="54" t="inlineStr">
        <is>
          <t>P1</t>
        </is>
      </c>
      <c r="G20" s="21" t="n"/>
      <c r="H20" s="21" t="n">
        <v>0.25</v>
      </c>
      <c r="I20" s="21" t="n"/>
      <c r="J20" s="46" t="n">
        <v>46302</v>
      </c>
      <c r="K20" s="46" t="n">
        <v>46307</v>
      </c>
      <c r="L20" s="36" t="n"/>
    </row>
    <row r="21">
      <c r="B21" s="53" t="inlineStr">
        <is>
          <t>M03</t>
        </is>
      </c>
      <c r="C21" s="53" t="inlineStr">
        <is>
          <t>T018</t>
        </is>
      </c>
      <c r="D21" s="35" t="inlineStr">
        <is>
          <t>System Settings</t>
        </is>
      </c>
      <c r="E21" s="35" t="inlineStr">
        <is>
          <t>Fix / Resolution Master</t>
        </is>
      </c>
      <c r="F21" s="54" t="inlineStr">
        <is>
          <t>P1</t>
        </is>
      </c>
      <c r="G21" s="21" t="n"/>
      <c r="H21" s="21" t="n">
        <v>0.25</v>
      </c>
      <c r="I21" s="21" t="n"/>
      <c r="J21" s="46" t="n">
        <v>46302</v>
      </c>
      <c r="K21" s="46" t="n">
        <v>46307</v>
      </c>
      <c r="L21" s="36" t="n"/>
    </row>
    <row r="22">
      <c r="B22" s="53" t="inlineStr">
        <is>
          <t>M03</t>
        </is>
      </c>
      <c r="C22" s="53" t="inlineStr">
        <is>
          <t>T019</t>
        </is>
      </c>
      <c r="D22" s="35" t="inlineStr">
        <is>
          <t>System Settings</t>
        </is>
      </c>
      <c r="E22" s="35" t="inlineStr">
        <is>
          <t>Denial Code - Denial Category Mapping Master</t>
        </is>
      </c>
      <c r="F22" s="54" t="inlineStr">
        <is>
          <t>P1</t>
        </is>
      </c>
      <c r="G22" s="21" t="n"/>
      <c r="H22" s="21" t="n">
        <v>0.25</v>
      </c>
      <c r="I22" s="21" t="n"/>
      <c r="J22" s="46" t="n">
        <v>46302</v>
      </c>
      <c r="K22" s="46" t="n">
        <v>46307</v>
      </c>
      <c r="L22" s="36" t="n"/>
    </row>
    <row r="23">
      <c r="B23" s="53" t="inlineStr">
        <is>
          <t>M03</t>
        </is>
      </c>
      <c r="C23" s="53" t="inlineStr">
        <is>
          <t>T020</t>
        </is>
      </c>
      <c r="D23" s="35" t="inlineStr">
        <is>
          <t>System Settings</t>
        </is>
      </c>
      <c r="E23" s="35" t="inlineStr">
        <is>
          <t>CIP - Client Escalation Field Master</t>
        </is>
      </c>
      <c r="F23" s="54" t="inlineStr">
        <is>
          <t>P1</t>
        </is>
      </c>
      <c r="G23" s="21" t="n"/>
      <c r="H23" s="21" t="n">
        <v>0.25</v>
      </c>
      <c r="I23" s="21" t="n"/>
      <c r="J23" s="46" t="n">
        <v>46302</v>
      </c>
      <c r="K23" s="46" t="n">
        <v>46307</v>
      </c>
      <c r="L23" s="36" t="n"/>
    </row>
    <row r="24" ht="41.4" customHeight="1">
      <c r="B24" s="53" t="inlineStr">
        <is>
          <t>M04</t>
        </is>
      </c>
      <c r="C24" s="53" t="inlineStr">
        <is>
          <t>T021</t>
        </is>
      </c>
      <c r="D24" s="35" t="inlineStr">
        <is>
          <t>Denial &amp; AR Work Queue</t>
        </is>
      </c>
      <c r="E24" s="35" t="inlineStr">
        <is>
          <t>Claim Listing table
Filtered claim listing from the claim level data table when the Route to Work Queue denial code selected in the insights</t>
        </is>
      </c>
      <c r="F24" s="54" t="inlineStr">
        <is>
          <t>P1</t>
        </is>
      </c>
      <c r="G24" s="53" t="n"/>
      <c r="H24" s="53" t="n">
        <v>0.25</v>
      </c>
      <c r="I24" s="53" t="n"/>
      <c r="J24" s="48" t="n">
        <v>46307</v>
      </c>
      <c r="K24" s="48" t="n">
        <v>46308</v>
      </c>
      <c r="L24" s="36" t="n"/>
    </row>
    <row r="25" ht="27.6" customHeight="1">
      <c r="B25" s="53" t="inlineStr">
        <is>
          <t>M04</t>
        </is>
      </c>
      <c r="C25" s="53" t="inlineStr">
        <is>
          <t>T022</t>
        </is>
      </c>
      <c r="D25" s="35" t="inlineStr">
        <is>
          <t>Denial &amp; AR Work Queue</t>
        </is>
      </c>
      <c r="E25" s="25" t="inlineStr">
        <is>
          <t>Extend All Claims grid with
Aging | Denial Category | TFL | Priority | AR Queue | Expected Payment</t>
        </is>
      </c>
      <c r="F25" s="54" t="inlineStr">
        <is>
          <t>P1</t>
        </is>
      </c>
      <c r="G25" s="53" t="n"/>
      <c r="H25" s="53" t="n">
        <v>0.25</v>
      </c>
      <c r="I25" s="53" t="n"/>
      <c r="J25" s="48" t="n">
        <v>46307</v>
      </c>
      <c r="K25" s="48" t="n">
        <v>46308</v>
      </c>
      <c r="L25" s="36" t="n"/>
    </row>
    <row r="26" ht="28.8" customHeight="1">
      <c r="B26" s="53" t="inlineStr">
        <is>
          <t>M05</t>
        </is>
      </c>
      <c r="C26" s="53" t="inlineStr">
        <is>
          <t>T023</t>
        </is>
      </c>
      <c r="D26" s="32" t="inlineStr">
        <is>
          <t>AR Financial &amp; Recovery Data Model</t>
        </is>
      </c>
      <c r="E26" s="32" t="inlineStr">
        <is>
          <t>Schema: financial &amp; recovery fields (expected/actual payment, variance, underpayment, recovered, remaining AR, initial AR, financial class, secondary payer)</t>
        </is>
      </c>
      <c r="F26" s="54" t="inlineStr">
        <is>
          <t>P1</t>
        </is>
      </c>
      <c r="G26" s="53" t="n"/>
      <c r="H26" s="40" t="n">
        <v>0.75</v>
      </c>
      <c r="I26" s="53" t="n"/>
      <c r="J26" s="48" t="n">
        <v>46309</v>
      </c>
      <c r="K26" s="48" t="n">
        <v>46310</v>
      </c>
      <c r="L26" s="36" t="n"/>
    </row>
    <row r="27" ht="28.8" customHeight="1">
      <c r="B27" s="53" t="inlineStr">
        <is>
          <t>M05</t>
        </is>
      </c>
      <c r="C27" s="53" t="inlineStr">
        <is>
          <t>T024</t>
        </is>
      </c>
      <c r="D27" s="32" t="inlineStr">
        <is>
          <t>AR Financial &amp; Recovery Data Model</t>
        </is>
      </c>
      <c r="E27" s="32" t="inlineStr">
        <is>
          <t>Weekly payment/AR refresh ETL from denial summary with recovery attribution rule (payment after AR activity)</t>
        </is>
      </c>
      <c r="F27" s="54" t="inlineStr">
        <is>
          <t>P1</t>
        </is>
      </c>
      <c r="G27" s="53" t="n"/>
      <c r="H27" s="40" t="n">
        <v>0.75</v>
      </c>
      <c r="I27" s="53" t="n"/>
      <c r="J27" s="48" t="n">
        <v>46309</v>
      </c>
      <c r="K27" s="48" t="n">
        <v>46310</v>
      </c>
      <c r="L27" s="36" t="n"/>
    </row>
    <row r="28" ht="27.6" customHeight="1">
      <c r="B28" s="53" t="inlineStr">
        <is>
          <t>M06</t>
        </is>
      </c>
      <c r="C28" s="53" t="inlineStr">
        <is>
          <t>T025</t>
        </is>
      </c>
      <c r="D28" s="25" t="inlineStr">
        <is>
          <t>Claim Detail Workspace</t>
        </is>
      </c>
      <c r="E28" s="25" t="inlineStr">
        <is>
          <t>Claim Detail View
Overview | CPT\Line Detail | Denial Info | Followup | Acitivity Timeline</t>
        </is>
      </c>
      <c r="F28" s="54" t="inlineStr">
        <is>
          <t>P1</t>
        </is>
      </c>
      <c r="G28" s="53" t="n"/>
      <c r="H28" s="40" t="n">
        <v>0.5</v>
      </c>
      <c r="I28" s="53" t="n"/>
      <c r="J28" s="48" t="n">
        <v>46311</v>
      </c>
      <c r="K28" s="48" t="n">
        <v>46313</v>
      </c>
      <c r="L28" s="36" t="n"/>
    </row>
    <row r="29" ht="27.6" customHeight="1">
      <c r="B29" s="53" t="inlineStr">
        <is>
          <t>M06</t>
        </is>
      </c>
      <c r="C29" s="53" t="inlineStr">
        <is>
          <t>T026</t>
        </is>
      </c>
      <c r="D29" s="25" t="inlineStr">
        <is>
          <t>Claim Detail Workspace</t>
        </is>
      </c>
      <c r="E29" s="25" t="inlineStr">
        <is>
          <t>Filter options
Cascade the filters to the claim listing table</t>
        </is>
      </c>
      <c r="F29" s="54" t="inlineStr">
        <is>
          <t>P1</t>
        </is>
      </c>
      <c r="G29" s="36" t="n"/>
      <c r="H29" s="40" t="n">
        <v>0.5</v>
      </c>
      <c r="I29" s="53" t="n"/>
      <c r="J29" s="48" t="n">
        <v>46311</v>
      </c>
      <c r="K29" s="48" t="n">
        <v>46313</v>
      </c>
      <c r="L29" s="36" t="n"/>
    </row>
    <row r="30">
      <c r="B30" s="53" t="inlineStr">
        <is>
          <t>M06</t>
        </is>
      </c>
      <c r="C30" s="53" t="inlineStr">
        <is>
          <t>T027</t>
        </is>
      </c>
      <c r="D30" s="25" t="inlineStr">
        <is>
          <t>Claim Detail Workspace</t>
        </is>
      </c>
      <c r="E30" s="25" t="inlineStr">
        <is>
          <t>Filter claim view based on the filter options</t>
        </is>
      </c>
      <c r="F30" s="54" t="inlineStr">
        <is>
          <t>P1</t>
        </is>
      </c>
      <c r="G30" s="36" t="n"/>
      <c r="H30" s="53" t="n">
        <v>0.25</v>
      </c>
      <c r="I30" s="53" t="n"/>
      <c r="J30" s="48" t="n">
        <v>46311</v>
      </c>
      <c r="K30" s="48" t="n">
        <v>46313</v>
      </c>
      <c r="L30" s="36" t="n"/>
    </row>
    <row r="31" ht="27.6" customHeight="1">
      <c r="B31" s="53" t="inlineStr">
        <is>
          <t>M06</t>
        </is>
      </c>
      <c r="C31" s="53" t="inlineStr">
        <is>
          <t>T028</t>
        </is>
      </c>
      <c r="D31" s="32" t="inlineStr">
        <is>
          <t>Log Follow-Up Note (Comments Framework)</t>
        </is>
      </c>
      <c r="E31" s="35" t="inlineStr">
        <is>
          <t>Comments Framework masters (claim type, follow-up type, claim status, root cause, fix/resolution by status, CIP lists)</t>
        </is>
      </c>
      <c r="F31" s="54" t="inlineStr">
        <is>
          <t>P1</t>
        </is>
      </c>
      <c r="G31" s="36" t="n"/>
      <c r="H31" s="40" t="n">
        <v>0.25</v>
      </c>
      <c r="I31" s="53" t="n"/>
      <c r="J31" s="48" t="n">
        <v>46314</v>
      </c>
      <c r="K31" s="48" t="n">
        <v>46316</v>
      </c>
      <c r="L31" s="36" t="n"/>
    </row>
    <row r="32" ht="27.6" customHeight="1">
      <c r="B32" s="53" t="inlineStr">
        <is>
          <t>M06</t>
        </is>
      </c>
      <c r="C32" s="53" t="inlineStr">
        <is>
          <t>T029</t>
        </is>
      </c>
      <c r="D32" s="32" t="inlineStr">
        <is>
          <t>Log Follow-Up Note (Comments Framework)</t>
        </is>
      </c>
      <c r="E32" s="35" t="inlineStr">
        <is>
          <t>Log Follow-Up Note modal (conditional fields, +7-day default) replacing current Add Note; auto-submit to QA</t>
        </is>
      </c>
      <c r="F32" s="54" t="inlineStr">
        <is>
          <t>P1</t>
        </is>
      </c>
      <c r="G32" s="53" t="n"/>
      <c r="H32" s="40" t="n">
        <v>0.25</v>
      </c>
      <c r="I32" s="53" t="n"/>
      <c r="J32" s="48" t="n">
        <v>46314</v>
      </c>
      <c r="K32" s="48" t="n">
        <v>46316</v>
      </c>
      <c r="L32" s="36" t="n"/>
    </row>
    <row r="33" ht="14.4" customHeight="1">
      <c r="B33" s="53" t="inlineStr">
        <is>
          <t>M06</t>
        </is>
      </c>
      <c r="C33" s="53" t="inlineStr">
        <is>
          <t>T030</t>
        </is>
      </c>
      <c r="D33" s="32" t="inlineStr">
        <is>
          <t>Log Follow-Up Note (Comments Framework)</t>
        </is>
      </c>
      <c r="E33" s="35" t="inlineStr">
        <is>
          <t>Excel bulk update of follow-ups on the new field set (reuse upload jobs, conflict check)</t>
        </is>
      </c>
      <c r="F33" s="54" t="inlineStr">
        <is>
          <t>P1</t>
        </is>
      </c>
      <c r="G33" s="53" t="n"/>
      <c r="H33" s="40" t="n">
        <v>0.5</v>
      </c>
      <c r="I33" s="53" t="n"/>
      <c r="J33" s="48" t="n">
        <v>46314</v>
      </c>
      <c r="K33" s="48" t="n">
        <v>46316</v>
      </c>
      <c r="L33" s="36" t="n"/>
    </row>
    <row r="34" ht="14.4" customHeight="1">
      <c r="B34" s="53" t="inlineStr">
        <is>
          <t>M06</t>
        </is>
      </c>
      <c r="C34" s="53" t="inlineStr">
        <is>
          <t>T031</t>
        </is>
      </c>
      <c r="D34" s="32" t="inlineStr">
        <is>
          <t>Log Follow-Up Note (Comments Framework)</t>
        </is>
      </c>
      <c r="E34" s="25" t="inlineStr">
        <is>
          <t>Claim Assignment : Check box, multiselect, agent picker, claim assignment</t>
        </is>
      </c>
      <c r="F34" s="54" t="inlineStr">
        <is>
          <t>P1</t>
        </is>
      </c>
      <c r="G34" s="53" t="n"/>
      <c r="H34" s="53" t="n">
        <v>0.15</v>
      </c>
      <c r="I34" s="53" t="n"/>
      <c r="J34" s="48" t="n">
        <v>46314</v>
      </c>
      <c r="K34" s="48" t="n">
        <v>46316</v>
      </c>
      <c r="L34" s="36" t="n"/>
    </row>
    <row r="35" ht="14.4" customHeight="1">
      <c r="B35" s="53" t="inlineStr">
        <is>
          <t>M06</t>
        </is>
      </c>
      <c r="C35" s="53" t="inlineStr">
        <is>
          <t>T032</t>
        </is>
      </c>
      <c r="D35" s="32" t="inlineStr">
        <is>
          <t>Log Follow-Up Note (Comments Framework)</t>
        </is>
      </c>
      <c r="E35" s="25" t="inlineStr">
        <is>
          <t>Claim Export : All claim Export, Filtered Claim Export</t>
        </is>
      </c>
      <c r="F35" s="54" t="inlineStr">
        <is>
          <t>P1</t>
        </is>
      </c>
      <c r="G35" s="53" t="n"/>
      <c r="H35" s="53" t="n">
        <v>0.15</v>
      </c>
      <c r="I35" s="53" t="n"/>
      <c r="J35" s="48" t="n">
        <v>46314</v>
      </c>
      <c r="K35" s="48" t="n">
        <v>46316</v>
      </c>
      <c r="L35" s="36" t="n"/>
    </row>
    <row r="36" ht="43.2" customHeight="1">
      <c r="B36" s="53" t="inlineStr">
        <is>
          <t>M07</t>
        </is>
      </c>
      <c r="C36" s="53" t="inlineStr">
        <is>
          <t>T033</t>
        </is>
      </c>
      <c r="D36" s="35" t="inlineStr">
        <is>
          <t>Claim Lifecycle Rules &amp; AR Queue Classification Engine</t>
        </is>
      </c>
      <c r="E36" s="32" t="inlineStr">
        <is>
          <t>Automatic Adjustment (Non-Collectible Denials)
Non-collectible flag + Automatic Adjustment (single &amp; batch) with System/Automation audit entry</t>
        </is>
      </c>
      <c r="F36" s="54" t="inlineStr">
        <is>
          <t>P1</t>
        </is>
      </c>
      <c r="G36" s="53" t="n"/>
      <c r="H36" s="53" t="n">
        <v>0.5</v>
      </c>
      <c r="I36" s="53" t="n"/>
      <c r="J36" s="48" t="n">
        <v>46316</v>
      </c>
      <c r="K36" s="48" t="n">
        <v>46318</v>
      </c>
      <c r="L36" s="36" t="n"/>
    </row>
    <row r="37" ht="28.8" customHeight="1">
      <c r="B37" s="53" t="inlineStr">
        <is>
          <t>M07</t>
        </is>
      </c>
      <c r="C37" s="53" t="inlineStr">
        <is>
          <t>T034</t>
        </is>
      </c>
      <c r="D37" s="35" t="inlineStr">
        <is>
          <t>Claim Lifecycle Rules &amp; AR Queue Classification Engine</t>
        </is>
      </c>
      <c r="E37" s="32" t="inlineStr">
        <is>
          <t>Lifecycle rules as domain services/SQL views: financially closed, work complete, open insurance AR, days since last touch, follow-up actionable</t>
        </is>
      </c>
      <c r="F37" s="54" t="inlineStr">
        <is>
          <t>P1</t>
        </is>
      </c>
      <c r="G37" s="53" t="n"/>
      <c r="H37" s="40" t="n">
        <v>0.5</v>
      </c>
      <c r="I37" s="53" t="n"/>
      <c r="J37" s="48" t="n">
        <v>46316</v>
      </c>
      <c r="K37" s="48" t="n">
        <v>46318</v>
      </c>
      <c r="L37" s="36" t="n"/>
    </row>
    <row r="38" ht="28.8" customHeight="1">
      <c r="B38" s="53" t="inlineStr">
        <is>
          <t>M07</t>
        </is>
      </c>
      <c r="C38" s="53" t="inlineStr">
        <is>
          <t>T035</t>
        </is>
      </c>
      <c r="D38" s="35" t="inlineStr">
        <is>
          <t>Claim Lifecycle Rules &amp; AR Queue Classification Engine</t>
        </is>
      </c>
      <c r="E38" s="32" t="inlineStr">
        <is>
          <t>AR Queue classification engine (12 queues + collectible/non-collectible sub-queues), config-driven</t>
        </is>
      </c>
      <c r="F38" s="54" t="inlineStr">
        <is>
          <t>P1</t>
        </is>
      </c>
      <c r="G38" s="53" t="n"/>
      <c r="H38" s="40" t="n">
        <v>0.25</v>
      </c>
      <c r="I38" s="53" t="n"/>
      <c r="J38" s="48" t="n">
        <v>46316</v>
      </c>
      <c r="K38" s="48" t="n">
        <v>46318</v>
      </c>
      <c r="L38" s="36" t="n"/>
    </row>
    <row r="39" ht="27.6" customHeight="1">
      <c r="B39" s="53" t="inlineStr">
        <is>
          <t>M07</t>
        </is>
      </c>
      <c r="C39" s="53" t="inlineStr">
        <is>
          <t>T036</t>
        </is>
      </c>
      <c r="D39" s="35" t="inlineStr">
        <is>
          <t>Claim Lifecycle Rules &amp; AR Queue Classification Engine</t>
        </is>
      </c>
      <c r="E39" s="32" t="inlineStr">
        <is>
          <t>New workflow status state machine and transition guards</t>
        </is>
      </c>
      <c r="F39" s="54" t="inlineStr">
        <is>
          <t>P1</t>
        </is>
      </c>
      <c r="G39" s="36" t="n"/>
      <c r="H39" s="40" t="n">
        <v>0.5</v>
      </c>
      <c r="I39" s="36" t="n"/>
      <c r="J39" s="49" t="n">
        <v>46316</v>
      </c>
      <c r="K39" s="49" t="n">
        <v>46318</v>
      </c>
      <c r="L39" s="36" t="n"/>
    </row>
    <row r="40" ht="28.8" customHeight="1">
      <c r="B40" s="53" t="inlineStr">
        <is>
          <t>M07</t>
        </is>
      </c>
      <c r="C40" s="53" t="inlineStr">
        <is>
          <t>T037</t>
        </is>
      </c>
      <c r="D40" s="32" t="inlineStr">
        <is>
          <t>Workflow Event &amp; Snapshot Infrastructure</t>
        </is>
      </c>
      <c r="E40" s="32" t="inlineStr">
        <is>
          <t>Event tables: activity (incl. System actor), follow-ups, QA records, agent requests, CIP cases, action completion (GAP-3/4/5/8)</t>
        </is>
      </c>
      <c r="F40" s="54" t="inlineStr">
        <is>
          <t>P1</t>
        </is>
      </c>
      <c r="G40" s="36" t="n"/>
      <c r="H40" s="38" t="n">
        <v>1.5</v>
      </c>
      <c r="I40" s="36" t="n"/>
      <c r="J40" s="49" t="n">
        <v>46318</v>
      </c>
      <c r="K40" s="49" t="n">
        <v>46320</v>
      </c>
      <c r="L40" s="36" t="n"/>
    </row>
    <row r="41" ht="14.4" customHeight="1">
      <c r="B41" s="53" t="inlineStr">
        <is>
          <t>M07</t>
        </is>
      </c>
      <c r="C41" s="53" t="inlineStr">
        <is>
          <t>T038</t>
        </is>
      </c>
      <c r="D41" s="32" t="inlineStr">
        <is>
          <t>Workflow Event &amp; Snapshot Infrastructure</t>
        </is>
      </c>
      <c r="E41" s="32" t="inlineStr">
        <is>
          <t>Nightly inventory snapshot job (Hangfire) for trend and movement reporting (GAP-6)</t>
        </is>
      </c>
      <c r="F41" s="54" t="inlineStr">
        <is>
          <t>P1</t>
        </is>
      </c>
      <c r="G41" s="36" t="n"/>
      <c r="H41" s="38" t="n">
        <v>1</v>
      </c>
      <c r="I41" s="36" t="n"/>
      <c r="J41" s="49" t="n">
        <v>46318</v>
      </c>
      <c r="K41" s="49" t="n">
        <v>46320</v>
      </c>
      <c r="L41" s="36" t="n"/>
    </row>
    <row r="42" ht="28.8" customHeight="1">
      <c r="B42" s="53" t="inlineStr">
        <is>
          <t>M07</t>
        </is>
      </c>
      <c r="C42" s="53" t="inlineStr">
        <is>
          <t>T039</t>
        </is>
      </c>
      <c r="D42" s="32" t="inlineStr">
        <is>
          <t>Workflow Event &amp; Snapshot Infrastructure</t>
        </is>
      </c>
      <c r="E42" s="32" t="inlineStr">
        <is>
          <t>Timely-filing thresholds by financial class; tflDeadline / tflRisk alongside existing SLA clock</t>
        </is>
      </c>
      <c r="F42" s="54" t="inlineStr">
        <is>
          <t>P1</t>
        </is>
      </c>
      <c r="G42" s="36" t="n"/>
      <c r="H42" s="38" t="n">
        <v>0.25</v>
      </c>
      <c r="I42" s="36" t="n"/>
      <c r="J42" s="49" t="n">
        <v>46318</v>
      </c>
      <c r="K42" s="49" t="n">
        <v>46320</v>
      </c>
      <c r="L42" s="36" t="n"/>
    </row>
    <row r="43" ht="28.8" customHeight="1">
      <c r="B43" s="53" t="inlineStr">
        <is>
          <t>M08</t>
        </is>
      </c>
      <c r="C43" s="53" t="inlineStr">
        <is>
          <t>T040</t>
        </is>
      </c>
      <c r="D43" s="32" t="inlineStr">
        <is>
          <t>TFL Risk &amp; SLA Tracking</t>
        </is>
      </c>
      <c r="E43" s="32" t="inlineStr">
        <is>
          <t>Appying Timely-filing thresholds by financial class; tflDeadline / tflRisk alongside existing SLA clock</t>
        </is>
      </c>
      <c r="F43" s="54" t="inlineStr">
        <is>
          <t>P1</t>
        </is>
      </c>
      <c r="G43" s="36" t="n"/>
      <c r="H43" s="38" t="n">
        <v>0.15</v>
      </c>
      <c r="I43" s="36" t="n"/>
      <c r="J43" s="49" t="n">
        <v>46320</v>
      </c>
      <c r="K43" s="49" t="n">
        <v>46320</v>
      </c>
      <c r="L43" s="36" t="n"/>
    </row>
    <row r="44" ht="28.8" customHeight="1">
      <c r="B44" s="53" t="inlineStr">
        <is>
          <t>M09</t>
        </is>
      </c>
      <c r="C44" s="53" t="inlineStr">
        <is>
          <t>T041</t>
        </is>
      </c>
      <c r="D44" s="32" t="inlineStr">
        <is>
          <t>Shared Table Utilities</t>
        </is>
      </c>
      <c r="E44" s="32" t="inlineStr">
        <is>
          <t>Shared grid: server-side sort/paging, filtered CSV export, column visibility, row-eligible bulk select, confirm dialog, summary toast</t>
        </is>
      </c>
      <c r="F44" s="54" t="inlineStr">
        <is>
          <t>P1</t>
        </is>
      </c>
      <c r="G44" s="36" t="n"/>
      <c r="H44" s="40" t="n">
        <v>0.25</v>
      </c>
      <c r="I44" s="36" t="n"/>
      <c r="J44" s="49" t="n">
        <v>46320</v>
      </c>
      <c r="K44" s="49" t="n">
        <v>46320</v>
      </c>
      <c r="L44" s="36" t="n"/>
    </row>
    <row r="45" ht="14.4" customHeight="1">
      <c r="B45" s="53" t="inlineStr">
        <is>
          <t>M09</t>
        </is>
      </c>
      <c r="C45" s="53" t="inlineStr">
        <is>
          <t>T042</t>
        </is>
      </c>
      <c r="D45" s="32" t="inlineStr">
        <is>
          <t>Shared Table Utilities</t>
        </is>
      </c>
      <c r="E45" s="32" t="inlineStr">
        <is>
          <t>Saved Views per user per queue (server-persisted)</t>
        </is>
      </c>
      <c r="F45" s="54" t="inlineStr">
        <is>
          <t>P1</t>
        </is>
      </c>
      <c r="G45" s="36" t="n"/>
      <c r="H45" s="40" t="n">
        <v>0.25</v>
      </c>
      <c r="I45" s="36" t="n"/>
      <c r="J45" s="49" t="n">
        <v>46320</v>
      </c>
      <c r="K45" s="49" t="n">
        <v>46320</v>
      </c>
      <c r="L45" s="36" t="n"/>
    </row>
    <row r="46" ht="28.8" customHeight="1">
      <c r="B46" s="53" t="inlineStr">
        <is>
          <t>M10</t>
        </is>
      </c>
      <c r="C46" s="53" t="inlineStr">
        <is>
          <t>T043</t>
        </is>
      </c>
      <c r="D46" s="32" t="inlineStr">
        <is>
          <t>My Work (Agent caseload)</t>
        </is>
      </c>
      <c r="E46" s="32" t="inlineStr">
        <is>
          <t>My Work: new status/AR queue, Fix/Resolution &amp; next follow-up columns, Follow-Up Schedule panel</t>
        </is>
      </c>
      <c r="F46" s="54" t="inlineStr">
        <is>
          <t>P1</t>
        </is>
      </c>
      <c r="G46" s="36" t="n"/>
      <c r="H46" s="53" t="n">
        <v>0.25</v>
      </c>
      <c r="I46" s="36" t="n"/>
      <c r="J46" s="49" t="n">
        <v>46320</v>
      </c>
      <c r="K46" s="49" t="n">
        <v>46321</v>
      </c>
      <c r="L46" s="36" t="n"/>
    </row>
    <row r="47" ht="14.4" customHeight="1">
      <c r="B47" s="53" t="inlineStr">
        <is>
          <t>M11</t>
        </is>
      </c>
      <c r="C47" s="53" t="inlineStr">
        <is>
          <t>T044</t>
        </is>
      </c>
      <c r="D47" s="32" t="inlineStr">
        <is>
          <t>Follow-Up Management</t>
        </is>
      </c>
      <c r="E47" s="32" t="inlineStr">
        <is>
          <t>Follow-Up Management queue (actionable + re-follow-up due rules) and overdue badge</t>
        </is>
      </c>
      <c r="F47" s="54" t="inlineStr">
        <is>
          <t>P1</t>
        </is>
      </c>
      <c r="G47" s="36" t="n"/>
      <c r="H47" s="38" t="n">
        <v>0.5</v>
      </c>
      <c r="I47" s="36" t="n"/>
      <c r="J47" s="49" t="n">
        <v>46322</v>
      </c>
      <c r="K47" s="49" t="n">
        <v>46323</v>
      </c>
      <c r="L47" s="36" t="n"/>
    </row>
    <row r="48" ht="14.4" customHeight="1">
      <c r="B48" s="53" t="inlineStr">
        <is>
          <t>M11</t>
        </is>
      </c>
      <c r="C48" s="53" t="inlineStr">
        <is>
          <t>T045</t>
        </is>
      </c>
      <c r="D48" s="32" t="inlineStr">
        <is>
          <t>Follow-Up Management</t>
        </is>
      </c>
      <c r="E48" s="28" t="inlineStr">
        <is>
          <t>Followup card views : All Active, Overdue, Due Today,Upcoming, No Followup- schedule</t>
        </is>
      </c>
      <c r="F48" s="54" t="inlineStr">
        <is>
          <t>P1</t>
        </is>
      </c>
      <c r="G48" s="36" t="n"/>
      <c r="H48" s="38" t="n">
        <v>0.15</v>
      </c>
      <c r="I48" s="36" t="n"/>
      <c r="J48" s="49" t="n">
        <v>46322</v>
      </c>
      <c r="K48" s="49" t="n">
        <v>46323</v>
      </c>
      <c r="L48" s="36" t="n"/>
    </row>
    <row r="49" ht="14.4" customHeight="1">
      <c r="B49" s="53" t="inlineStr">
        <is>
          <t>M11</t>
        </is>
      </c>
      <c r="C49" s="53" t="inlineStr">
        <is>
          <t>T046</t>
        </is>
      </c>
      <c r="D49" s="32" t="inlineStr">
        <is>
          <t>Follow-Up Management</t>
        </is>
      </c>
      <c r="E49" s="28" t="inlineStr">
        <is>
          <t>Search and All filters (including TFL, Save View)</t>
        </is>
      </c>
      <c r="F49" s="54" t="inlineStr">
        <is>
          <t>P1</t>
        </is>
      </c>
      <c r="G49" s="36" t="n"/>
      <c r="H49" s="38" t="n">
        <v>0.15</v>
      </c>
      <c r="I49" s="36" t="n"/>
      <c r="J49" s="49" t="n">
        <v>46322</v>
      </c>
      <c r="K49" s="49" t="n">
        <v>46323</v>
      </c>
      <c r="L49" s="36" t="n"/>
    </row>
    <row r="50" ht="14.4" customHeight="1">
      <c r="B50" s="53" t="inlineStr">
        <is>
          <t>M11</t>
        </is>
      </c>
      <c r="C50" s="53" t="inlineStr">
        <is>
          <t>T047</t>
        </is>
      </c>
      <c r="D50" s="32" t="inlineStr">
        <is>
          <t>Follow-Up Management</t>
        </is>
      </c>
      <c r="E50" s="28" t="inlineStr">
        <is>
          <t>Cascading filters to claim listing</t>
        </is>
      </c>
      <c r="F50" s="54" t="inlineStr">
        <is>
          <t>P1</t>
        </is>
      </c>
      <c r="G50" s="36" t="n"/>
      <c r="H50" s="38" t="n">
        <v>0.25</v>
      </c>
      <c r="I50" s="36" t="n"/>
      <c r="J50" s="49" t="n">
        <v>46322</v>
      </c>
      <c r="K50" s="49" t="n">
        <v>46323</v>
      </c>
      <c r="L50" s="36" t="n"/>
    </row>
    <row r="51" ht="14.4" customHeight="1">
      <c r="B51" s="53" t="inlineStr">
        <is>
          <t>M11</t>
        </is>
      </c>
      <c r="C51" s="53" t="inlineStr">
        <is>
          <t>T048</t>
        </is>
      </c>
      <c r="D51" s="32" t="inlineStr">
        <is>
          <t>Follow-Up Management</t>
        </is>
      </c>
      <c r="E51" s="28" t="inlineStr">
        <is>
          <t>Directing the user to Denial &amp; AR Queue for Followup log</t>
        </is>
      </c>
      <c r="F51" s="54" t="inlineStr">
        <is>
          <t>P1</t>
        </is>
      </c>
      <c r="G51" s="36" t="n"/>
      <c r="H51" s="38" t="n">
        <v>0.1</v>
      </c>
      <c r="I51" s="36" t="n"/>
      <c r="J51" s="49" t="n">
        <v>46322</v>
      </c>
      <c r="K51" s="49" t="n">
        <v>46323</v>
      </c>
      <c r="L51" s="36" t="n"/>
    </row>
    <row r="52" ht="43.2" customHeight="1">
      <c r="B52" s="53" t="inlineStr">
        <is>
          <t>M11</t>
        </is>
      </c>
      <c r="C52" s="53" t="inlineStr">
        <is>
          <t>T049</t>
        </is>
      </c>
      <c r="D52" s="43" t="inlineStr">
        <is>
          <t>Roles &amp; Permission Matrix Configuration</t>
        </is>
      </c>
      <c r="E52" s="32" t="inlineStr">
        <is>
          <t>Reusable components System Administrator = Lab Admin , AR Manager = RCM Manager, Create Team Lead, QA Reviewer, Viewer roles; permission-matrix table and API authorisation policies</t>
        </is>
      </c>
      <c r="F52" s="54" t="inlineStr">
        <is>
          <t>P2</t>
        </is>
      </c>
      <c r="G52" s="36" t="n"/>
      <c r="H52" s="38" t="n">
        <v>0.75</v>
      </c>
      <c r="I52" s="36" t="n"/>
      <c r="J52" s="49" t="n">
        <v>46324</v>
      </c>
      <c r="K52" s="49" t="n">
        <v>46325</v>
      </c>
      <c r="L52" s="36" t="n"/>
    </row>
    <row r="53" ht="14.4" customHeight="1">
      <c r="B53" s="53" t="inlineStr">
        <is>
          <t>M11</t>
        </is>
      </c>
      <c r="C53" s="53" t="inlineStr">
        <is>
          <t>T050</t>
        </is>
      </c>
      <c r="D53" s="43" t="inlineStr">
        <is>
          <t>Roles &amp; Permission Matrix Configuration</t>
        </is>
      </c>
      <c r="E53" s="32" t="inlineStr">
        <is>
          <t>Config-driven navigation and route guards from the permission matrix</t>
        </is>
      </c>
      <c r="F53" s="54" t="inlineStr">
        <is>
          <t>P2</t>
        </is>
      </c>
      <c r="G53" s="36" t="n"/>
      <c r="H53" s="38" t="n">
        <v>0.75</v>
      </c>
      <c r="I53" s="36" t="n"/>
      <c r="J53" s="49" t="n">
        <v>46324</v>
      </c>
      <c r="K53" s="49" t="n">
        <v>46325</v>
      </c>
      <c r="L53" s="36" t="n"/>
    </row>
    <row r="54" ht="24" customHeight="1">
      <c r="B54" s="53" t="inlineStr">
        <is>
          <t>M12</t>
        </is>
      </c>
      <c r="C54" s="53" t="inlineStr">
        <is>
          <t>T051</t>
        </is>
      </c>
      <c r="D54" s="32" t="inlineStr">
        <is>
          <t>View  Only Acess (Client / Clinic / Provider)</t>
        </is>
      </c>
      <c r="E54" s="33" t="inlineStr">
        <is>
          <t>Access-grant model (all / client / clinic / provider) and central scoped-claims filter on every query, export and report</t>
        </is>
      </c>
      <c r="F54" s="54" t="inlineStr">
        <is>
          <t>P2</t>
        </is>
      </c>
      <c r="G54" s="36" t="n"/>
      <c r="H54" s="38" t="n">
        <v>0.15</v>
      </c>
      <c r="I54" s="36" t="n"/>
      <c r="J54" s="49" t="n">
        <v>46328</v>
      </c>
      <c r="K54" s="49" t="n">
        <v>46328</v>
      </c>
      <c r="L54" s="36" t="n"/>
    </row>
    <row r="55" ht="14.4" customHeight="1">
      <c r="B55" s="53" t="inlineStr">
        <is>
          <t>M12</t>
        </is>
      </c>
      <c r="C55" s="53" t="inlineStr">
        <is>
          <t>T052</t>
        </is>
      </c>
      <c r="D55" s="32" t="inlineStr">
        <is>
          <t>View  Only Acess (Client / Clinic / Provider)</t>
        </is>
      </c>
      <c r="E55" s="33" t="inlineStr">
        <is>
          <t>Scope badge replacing client selector for scoped users</t>
        </is>
      </c>
      <c r="F55" s="54" t="inlineStr">
        <is>
          <t>P2</t>
        </is>
      </c>
      <c r="G55" s="36" t="n"/>
      <c r="H55" s="38" t="n">
        <v>0.15</v>
      </c>
      <c r="I55" s="36" t="n"/>
      <c r="J55" s="49" t="n">
        <v>46328</v>
      </c>
      <c r="K55" s="49" t="n">
        <v>46328</v>
      </c>
      <c r="L55" s="36" t="n"/>
    </row>
    <row r="56" ht="14.4" customHeight="1">
      <c r="B56" s="53" t="inlineStr">
        <is>
          <t>M13</t>
        </is>
      </c>
      <c r="C56" s="53" t="inlineStr">
        <is>
          <t>T053</t>
        </is>
      </c>
      <c r="D56" s="44" t="inlineStr">
        <is>
          <t>User Management</t>
        </is>
      </c>
      <c r="E56" s="32" t="inlineStr">
        <is>
          <t>Create users and assign roles</t>
        </is>
      </c>
      <c r="F56" s="54" t="inlineStr">
        <is>
          <t>P2</t>
        </is>
      </c>
      <c r="G56" s="36" t="n"/>
      <c r="H56" s="38" t="n">
        <v>0.25</v>
      </c>
      <c r="I56" s="36" t="n"/>
      <c r="J56" s="49" t="n">
        <v>46328</v>
      </c>
      <c r="K56" s="49" t="n">
        <v>46328</v>
      </c>
      <c r="L56" s="36" t="n"/>
    </row>
    <row r="57" ht="14.4" customHeight="1">
      <c r="B57" s="53" t="inlineStr">
        <is>
          <t>M13</t>
        </is>
      </c>
      <c r="C57" s="53" t="inlineStr">
        <is>
          <t>T054</t>
        </is>
      </c>
      <c r="D57" s="44" t="inlineStr">
        <is>
          <t>User Management</t>
        </is>
      </c>
      <c r="E57" s="32" t="inlineStr">
        <is>
          <t xml:space="preserve">Cascading access picker, manager/team hierarchy </t>
        </is>
      </c>
      <c r="F57" s="54" t="inlineStr">
        <is>
          <t>P2</t>
        </is>
      </c>
      <c r="G57" s="36" t="n"/>
      <c r="H57" s="38" t="n">
        <v>0.25</v>
      </c>
      <c r="I57" s="36" t="n"/>
      <c r="J57" s="49" t="n">
        <v>46328</v>
      </c>
      <c r="K57" s="49" t="n">
        <v>46328</v>
      </c>
      <c r="L57" s="36" t="n"/>
    </row>
    <row r="58" ht="14.4" customHeight="1">
      <c r="B58" s="53" t="inlineStr">
        <is>
          <t>M14</t>
        </is>
      </c>
      <c r="C58" s="53" t="inlineStr">
        <is>
          <t>T055</t>
        </is>
      </c>
      <c r="D58" s="25" t="inlineStr">
        <is>
          <t>Assignment Management</t>
        </is>
      </c>
      <c r="E58" s="32" t="inlineStr">
        <is>
          <t>Unassigned Claims view (open balance, untouched &gt;= 45 days, Days Untouched)</t>
        </is>
      </c>
      <c r="F58" s="54" t="inlineStr">
        <is>
          <t>P2</t>
        </is>
      </c>
      <c r="G58" s="36" t="n"/>
      <c r="H58" s="40" t="n">
        <v>1</v>
      </c>
      <c r="I58" s="36" t="n"/>
      <c r="J58" s="49" t="n">
        <v>46328</v>
      </c>
      <c r="K58" s="49" t="n">
        <v>46330</v>
      </c>
      <c r="L58" s="36" t="n"/>
    </row>
    <row r="59" ht="14.4" customHeight="1">
      <c r="B59" s="53" t="inlineStr">
        <is>
          <t>M14</t>
        </is>
      </c>
      <c r="C59" s="53" t="inlineStr">
        <is>
          <t>T056</t>
        </is>
      </c>
      <c r="D59" s="25" t="inlineStr">
        <is>
          <t>Assignment Management</t>
        </is>
      </c>
      <c r="E59" s="32" t="inlineStr">
        <is>
          <t>Create Assignment Batch (criteria + agent + due date) and Assignment Batches log</t>
        </is>
      </c>
      <c r="F59" s="54" t="inlineStr">
        <is>
          <t>P2</t>
        </is>
      </c>
      <c r="G59" s="36" t="n"/>
      <c r="H59" s="40" t="n">
        <v>0.5</v>
      </c>
      <c r="I59" s="36" t="n"/>
      <c r="J59" s="49" t="n">
        <v>46328</v>
      </c>
      <c r="K59" s="49" t="n">
        <v>46330</v>
      </c>
      <c r="L59" s="36" t="n"/>
    </row>
    <row r="60" ht="14.4" customHeight="1">
      <c r="B60" s="53" t="inlineStr">
        <is>
          <t>M14</t>
        </is>
      </c>
      <c r="C60" s="53" t="inlineStr">
        <is>
          <t>T057</t>
        </is>
      </c>
      <c r="D60" s="25" t="inlineStr">
        <is>
          <t>Assignment Management</t>
        </is>
      </c>
      <c r="E60" s="32" t="inlineStr">
        <is>
          <t>Assigned Claims - Bulk Reassign table and Agent Workload chart</t>
        </is>
      </c>
      <c r="F60" s="54" t="inlineStr">
        <is>
          <t>P2</t>
        </is>
      </c>
      <c r="G60" s="36" t="n"/>
      <c r="H60" s="40" t="n">
        <v>0.5</v>
      </c>
      <c r="I60" s="36" t="n"/>
      <c r="J60" s="49" t="n">
        <v>46328</v>
      </c>
      <c r="K60" s="49" t="n">
        <v>46330</v>
      </c>
      <c r="L60" s="36" t="n"/>
    </row>
    <row r="61">
      <c r="B61" s="53" t="inlineStr">
        <is>
          <t>M14</t>
        </is>
      </c>
      <c r="C61" s="53" t="inlineStr">
        <is>
          <t>T058</t>
        </is>
      </c>
      <c r="D61" s="25" t="inlineStr">
        <is>
          <t>Assignment Management</t>
        </is>
      </c>
      <c r="E61" s="28" t="inlineStr">
        <is>
          <t>Directing the user to Denial &amp; AR Queue for Followup log</t>
        </is>
      </c>
      <c r="F61" s="54" t="inlineStr">
        <is>
          <t>P2</t>
        </is>
      </c>
      <c r="G61" s="36" t="n"/>
      <c r="H61" s="38" t="n">
        <v>0.15</v>
      </c>
      <c r="I61" s="36" t="n"/>
      <c r="J61" s="49" t="n">
        <v>46328</v>
      </c>
      <c r="K61" s="49" t="n">
        <v>46330</v>
      </c>
      <c r="L61" s="36" t="n"/>
    </row>
    <row r="62" ht="28.8" customHeight="1">
      <c r="B62" s="53" t="inlineStr">
        <is>
          <t>M15</t>
        </is>
      </c>
      <c r="C62" s="53" t="inlineStr">
        <is>
          <t>T059</t>
        </is>
      </c>
      <c r="D62" s="28" t="inlineStr">
        <is>
          <t>QA Workflow</t>
        </is>
      </c>
      <c r="E62" s="32" t="inlineStr">
        <is>
          <t>QA record &amp; decision API: self-approval block, approve &gt; Completed, reject &gt; QA Rejected</t>
        </is>
      </c>
      <c r="F62" s="54" t="inlineStr">
        <is>
          <t>P2</t>
        </is>
      </c>
      <c r="G62" s="36" t="n"/>
      <c r="H62" s="53" t="n">
        <v>1.5</v>
      </c>
      <c r="I62" s="36" t="n"/>
      <c r="J62" s="49" t="n">
        <v>46330</v>
      </c>
      <c r="K62" s="49" t="n">
        <v>46332</v>
      </c>
      <c r="L62" s="36" t="n"/>
    </row>
    <row r="63" ht="14.4" customHeight="1">
      <c r="B63" s="53" t="inlineStr">
        <is>
          <t>M15</t>
        </is>
      </c>
      <c r="C63" s="53" t="inlineStr">
        <is>
          <t>T060</t>
        </is>
      </c>
      <c r="D63" s="28" t="inlineStr">
        <is>
          <t>QA Workflow</t>
        </is>
      </c>
      <c r="E63" s="32" t="inlineStr">
        <is>
          <t>QA Verification Queue UI: filters, bulk Approve Selected with count/AR confirmation</t>
        </is>
      </c>
      <c r="F63" s="54" t="inlineStr">
        <is>
          <t>P2</t>
        </is>
      </c>
      <c r="G63" s="36" t="n"/>
      <c r="H63" s="53" t="n">
        <v>1.5</v>
      </c>
      <c r="I63" s="36" t="n"/>
      <c r="J63" s="49" t="n">
        <v>46330</v>
      </c>
      <c r="K63" s="49" t="n">
        <v>46332</v>
      </c>
      <c r="L63" s="36" t="n"/>
    </row>
    <row r="64" ht="28.8" customHeight="1">
      <c r="B64" s="53" t="inlineStr">
        <is>
          <t>M16</t>
        </is>
      </c>
      <c r="C64" s="53" t="inlineStr">
        <is>
          <t>T061</t>
        </is>
      </c>
      <c r="D64" s="28" t="inlineStr">
        <is>
          <t>CIP - Escalations</t>
        </is>
      </c>
      <c r="E64" s="32" t="inlineStr">
        <is>
          <t>CIP case model and 5-state lifecycle actions (approve, reject to agent, client response, insufficient/round+1, return to agent)</t>
        </is>
      </c>
      <c r="F64" s="54" t="inlineStr">
        <is>
          <t>P2</t>
        </is>
      </c>
      <c r="G64" s="36" t="n"/>
      <c r="H64" s="40" t="n">
        <v>0.5</v>
      </c>
      <c r="I64" s="36" t="n"/>
      <c r="J64" s="49" t="n">
        <v>46335</v>
      </c>
      <c r="K64" s="49" t="n">
        <v>46336</v>
      </c>
      <c r="L64" s="36" t="n"/>
    </row>
    <row r="65" ht="28.8" customHeight="1">
      <c r="B65" s="53" t="inlineStr">
        <is>
          <t>M16</t>
        </is>
      </c>
      <c r="C65" s="53" t="inlineStr">
        <is>
          <t>T062</t>
        </is>
      </c>
      <c r="D65" s="28" t="inlineStr">
        <is>
          <t>CIP - Escalations</t>
        </is>
      </c>
      <c r="E65" s="32" t="inlineStr">
        <is>
          <t>CIP Escalations queue: stage counts, bulk approve / bulk reject-send back (mixed stages)</t>
        </is>
      </c>
      <c r="F65" s="54" t="inlineStr">
        <is>
          <t>P2</t>
        </is>
      </c>
      <c r="G65" s="36" t="n"/>
      <c r="H65" s="40" t="n">
        <v>0.5</v>
      </c>
      <c r="I65" s="36" t="n"/>
      <c r="J65" s="49" t="n">
        <v>46335</v>
      </c>
      <c r="K65" s="49" t="n">
        <v>46336</v>
      </c>
      <c r="L65" s="36" t="n"/>
    </row>
    <row r="66" ht="28.8" customHeight="1">
      <c r="B66" s="53" t="inlineStr">
        <is>
          <t>M16</t>
        </is>
      </c>
      <c r="C66" s="53" t="inlineStr">
        <is>
          <t>T063</t>
        </is>
      </c>
      <c r="D66" s="28" t="inlineStr">
        <is>
          <t>CIP - Escalations</t>
        </is>
      </c>
      <c r="E66" s="32" t="inlineStr">
        <is>
          <t>Convert External Escalation / External Response data and Account Manager notes into CIP cases</t>
        </is>
      </c>
      <c r="F66" s="54" t="inlineStr">
        <is>
          <t>P2</t>
        </is>
      </c>
      <c r="G66" s="36" t="n"/>
      <c r="H66" s="40" t="n">
        <v>0.5</v>
      </c>
      <c r="I66" s="36" t="n"/>
      <c r="J66" s="49" t="n">
        <v>46335</v>
      </c>
      <c r="K66" s="49" t="n">
        <v>46336</v>
      </c>
      <c r="L66" s="36" t="n"/>
    </row>
    <row r="67" ht="28.8" customHeight="1">
      <c r="B67" s="53" t="inlineStr">
        <is>
          <t>M17</t>
        </is>
      </c>
      <c r="C67" s="53" t="inlineStr">
        <is>
          <t>T064</t>
        </is>
      </c>
      <c r="D67" s="32" t="inlineStr">
        <is>
          <t>Client Portal - Escalation Requests (Viewer)</t>
        </is>
      </c>
      <c r="E67" s="32" t="inlineStr">
        <is>
          <t>Client Escalation Requests page: awaiting / submitted / resolved; respond with text + up to 3 attachments</t>
        </is>
      </c>
      <c r="F67" s="55" t="inlineStr">
        <is>
          <t>P3</t>
        </is>
      </c>
      <c r="G67" s="36" t="n"/>
      <c r="H67" s="40" t="n">
        <v>0.5</v>
      </c>
      <c r="I67" s="36" t="n"/>
      <c r="J67" s="49" t="n">
        <v>46336</v>
      </c>
      <c r="K67" s="49" t="n">
        <v>46337</v>
      </c>
      <c r="L67" s="36" t="n"/>
    </row>
    <row r="68" ht="14.4" customHeight="1">
      <c r="B68" s="53" t="inlineStr">
        <is>
          <t>M17</t>
        </is>
      </c>
      <c r="C68" s="53" t="inlineStr">
        <is>
          <t>T065</t>
        </is>
      </c>
      <c r="D68" s="32" t="inlineStr">
        <is>
          <t>Client Portal - Escalation Requests (Viewer)</t>
        </is>
      </c>
      <c r="E68" s="32" t="inlineStr">
        <is>
          <t>Bulk CSV response template download/upload</t>
        </is>
      </c>
      <c r="F68" s="55" t="inlineStr">
        <is>
          <t>P3</t>
        </is>
      </c>
      <c r="G68" s="36" t="n"/>
      <c r="H68" s="40" t="n">
        <v>0.5</v>
      </c>
      <c r="I68" s="36" t="n"/>
      <c r="J68" s="49" t="n">
        <v>46336</v>
      </c>
      <c r="K68" s="49" t="n">
        <v>46337</v>
      </c>
      <c r="L68" s="36" t="n"/>
    </row>
    <row r="69" ht="14.4" customHeight="1">
      <c r="B69" s="53" t="inlineStr">
        <is>
          <t>M17</t>
        </is>
      </c>
      <c r="C69" s="53" t="inlineStr">
        <is>
          <t>T066</t>
        </is>
      </c>
      <c r="D69" s="32" t="inlineStr">
        <is>
          <t>Client Portal - Escalation Requests (Viewer)</t>
        </is>
      </c>
      <c r="E69" s="32" t="inlineStr">
        <is>
          <t>Read-only Client CIP view for clinic/provider-scoped viewers</t>
        </is>
      </c>
      <c r="F69" s="55" t="inlineStr">
        <is>
          <t>P3</t>
        </is>
      </c>
      <c r="G69" s="36" t="n"/>
      <c r="H69" s="40" t="n">
        <v>0.5</v>
      </c>
      <c r="I69" s="36" t="n"/>
      <c r="J69" s="49" t="n">
        <v>46336</v>
      </c>
      <c r="K69" s="49" t="n">
        <v>46337</v>
      </c>
      <c r="L69" s="36" t="n"/>
    </row>
    <row r="70" ht="14.4" customHeight="1">
      <c r="B70" s="53" t="inlineStr">
        <is>
          <t>M18</t>
        </is>
      </c>
      <c r="C70" s="53" t="inlineStr">
        <is>
          <t>T067</t>
        </is>
      </c>
      <c r="D70" s="32" t="inlineStr">
        <is>
          <t>Audit Logs (cross-claim)</t>
        </is>
      </c>
      <c r="E70" s="32" t="inlineStr">
        <is>
          <t>Audit Logs screen over activity spine (filters: user, action, client; claim links)</t>
        </is>
      </c>
      <c r="F70" s="55" t="inlineStr">
        <is>
          <t>P3</t>
        </is>
      </c>
      <c r="G70" s="36" t="n"/>
      <c r="H70" s="41" t="n">
        <v>2</v>
      </c>
      <c r="I70" s="36" t="n"/>
      <c r="J70" s="49" t="n">
        <v>46337</v>
      </c>
      <c r="K70" s="49" t="n">
        <v>46339</v>
      </c>
      <c r="L70" s="36" t="n"/>
    </row>
    <row r="71" ht="14.4" customHeight="1">
      <c r="B71" s="53" t="inlineStr">
        <is>
          <t>M19</t>
        </is>
      </c>
      <c r="C71" s="53" t="inlineStr">
        <is>
          <t>T068</t>
        </is>
      </c>
      <c r="D71" s="28" t="inlineStr">
        <is>
          <t>Client Management</t>
        </is>
      </c>
      <c r="E71" s="28" t="inlineStr">
        <is>
          <t>Client Management cards (eligible claims, AR, recovered) with activate/deactivate</t>
        </is>
      </c>
      <c r="F71" s="55" t="inlineStr">
        <is>
          <t>P3</t>
        </is>
      </c>
      <c r="G71" s="36" t="n"/>
      <c r="H71" s="41" t="n">
        <v>0.5</v>
      </c>
      <c r="I71" s="36" t="n"/>
      <c r="J71" s="49" t="n">
        <v>46339</v>
      </c>
      <c r="K71" s="56" t="n">
        <v>46339</v>
      </c>
      <c r="L71" s="36" t="n"/>
    </row>
    <row r="72" ht="14.4" customHeight="1">
      <c r="B72" s="53" t="inlineStr">
        <is>
          <t>M20</t>
        </is>
      </c>
      <c r="C72" s="53" t="inlineStr">
        <is>
          <t>T069</t>
        </is>
      </c>
      <c r="D72" s="32" t="inlineStr">
        <is>
          <t>Dashboard (KPIs &amp; AR Control Plan)</t>
        </is>
      </c>
      <c r="E72" s="32" t="inlineStr">
        <is>
          <t>Dashboard KPI API (10 KPIs recovered / potential recovery / overdue)</t>
        </is>
      </c>
      <c r="F72" s="55" t="inlineStr">
        <is>
          <t>P4</t>
        </is>
      </c>
      <c r="G72" s="36" t="n"/>
      <c r="H72" s="40" t="n">
        <v>0.75</v>
      </c>
      <c r="I72" s="36" t="n"/>
      <c r="J72" s="49" t="n">
        <v>46339</v>
      </c>
      <c r="K72" s="49" t="n">
        <v>46341</v>
      </c>
      <c r="L72" s="36" t="n"/>
    </row>
    <row r="73" ht="28.8" customHeight="1">
      <c r="B73" s="53" t="inlineStr">
        <is>
          <t>M20</t>
        </is>
      </c>
      <c r="C73" s="53" t="inlineStr">
        <is>
          <t>T070</t>
        </is>
      </c>
      <c r="D73" s="32" t="inlineStr">
        <is>
          <t>Dashboard (KPIs &amp; AR Control Plan)</t>
        </is>
      </c>
      <c r="E73" s="32" t="inlineStr">
        <is>
          <t>Dashboard widgets: AR Collections Progress, Queue Volumes, Category &amp; Aging Distribution, Workflow Status, Recovery Performance, Agent Productivity, insights</t>
        </is>
      </c>
      <c r="F73" s="55" t="inlineStr">
        <is>
          <t>P4</t>
        </is>
      </c>
      <c r="G73" s="36" t="n"/>
      <c r="H73" s="40" t="n">
        <v>0.75</v>
      </c>
      <c r="I73" s="36" t="n"/>
      <c r="J73" s="49" t="n">
        <v>46339</v>
      </c>
      <c r="K73" s="49" t="n">
        <v>46341</v>
      </c>
      <c r="L73" s="36" t="n"/>
    </row>
    <row r="74" ht="28.8" customHeight="1">
      <c r="B74" s="53" t="inlineStr">
        <is>
          <t>M21</t>
        </is>
      </c>
      <c r="C74" s="53" t="inlineStr">
        <is>
          <t>T071</t>
        </is>
      </c>
      <c r="D74" s="32" t="inlineStr">
        <is>
          <t>Recovery &amp; Financial Analytics</t>
        </is>
      </c>
      <c r="E74" s="32" t="inlineStr">
        <is>
          <t>Recovery analytics API (payer, panel, agent, client, category, AR queue) + follow-up comments breakdown</t>
        </is>
      </c>
      <c r="F74" s="55" t="inlineStr">
        <is>
          <t>P4</t>
        </is>
      </c>
      <c r="G74" s="36" t="n"/>
      <c r="H74" s="40" t="n">
        <v>0.5</v>
      </c>
      <c r="I74" s="36" t="n"/>
      <c r="J74" s="49" t="n">
        <v>46342</v>
      </c>
      <c r="K74" s="49" t="n">
        <v>46343</v>
      </c>
      <c r="L74" s="36" t="n"/>
    </row>
    <row r="75" ht="14.4" customHeight="1">
      <c r="B75" s="53" t="inlineStr">
        <is>
          <t>M21</t>
        </is>
      </c>
      <c r="C75" s="53" t="inlineStr">
        <is>
          <t>T072</t>
        </is>
      </c>
      <c r="D75" s="32" t="inlineStr">
        <is>
          <t>Recovery &amp; Financial Analytics</t>
        </is>
      </c>
      <c r="E75" s="32" t="inlineStr">
        <is>
          <t>Analytics UI charts with scope enforcement</t>
        </is>
      </c>
      <c r="F75" s="55" t="inlineStr">
        <is>
          <t>P4</t>
        </is>
      </c>
      <c r="G75" s="36" t="n"/>
      <c r="H75" s="40" t="n">
        <v>0.5</v>
      </c>
      <c r="I75" s="36" t="n"/>
      <c r="J75" s="49" t="n">
        <v>46342</v>
      </c>
      <c r="K75" s="49" t="n">
        <v>46343</v>
      </c>
      <c r="L75" s="36" t="n"/>
    </row>
    <row r="76" ht="28.8" customHeight="1">
      <c r="B76" s="53" t="inlineStr">
        <is>
          <t>M22</t>
        </is>
      </c>
      <c r="C76" s="53" t="inlineStr">
        <is>
          <t>T073</t>
        </is>
      </c>
      <c r="D76" s="25" t="inlineStr">
        <is>
          <t>Reports</t>
        </is>
      </c>
      <c r="E76" s="32" t="inlineStr">
        <is>
          <t>Summary reports: AR Aging, Agent Productivity, Denial Analysis, Panel Type, Recovery Performance</t>
        </is>
      </c>
      <c r="F76" s="55" t="inlineStr">
        <is>
          <t>P4</t>
        </is>
      </c>
      <c r="G76" s="36" t="n"/>
      <c r="H76" s="38" t="n">
        <v>2</v>
      </c>
      <c r="I76" s="36" t="n"/>
      <c r="J76" s="49" t="n">
        <v>46343</v>
      </c>
      <c r="K76" s="49" t="n">
        <v>46346</v>
      </c>
      <c r="L76" s="36" t="n"/>
    </row>
    <row r="77" ht="14.4" customHeight="1">
      <c r="B77" s="53" t="inlineStr">
        <is>
          <t>M22</t>
        </is>
      </c>
      <c r="C77" s="53" t="inlineStr">
        <is>
          <t>T074</t>
        </is>
      </c>
      <c r="D77" s="25" t="inlineStr">
        <is>
          <t>Reports</t>
        </is>
      </c>
      <c r="E77" s="32" t="inlineStr">
        <is>
          <t>AR Collections Progress Summary with revenue confidence tiers (100/50/30)</t>
        </is>
      </c>
      <c r="F77" s="55" t="inlineStr">
        <is>
          <t>P4</t>
        </is>
      </c>
      <c r="G77" s="36" t="n"/>
      <c r="H77" s="38" t="n">
        <v>2</v>
      </c>
      <c r="I77" s="36" t="n"/>
      <c r="J77" s="49" t="n">
        <v>46343</v>
      </c>
      <c r="K77" s="49" t="n">
        <v>46346</v>
      </c>
      <c r="L77" s="36" t="n"/>
    </row>
    <row r="78" ht="14.4" customHeight="1">
      <c r="B78" s="53" t="inlineStr">
        <is>
          <t>M22</t>
        </is>
      </c>
      <c r="C78" s="53" t="inlineStr">
        <is>
          <t>T075</t>
        </is>
      </c>
      <c r="D78" s="25" t="inlineStr">
        <is>
          <t>Reports</t>
        </is>
      </c>
      <c r="E78" s="32" t="inlineStr">
        <is>
          <t>Re-point RPT-01..09 catalog to new event tables; unblock RPT-04 / RPT-09</t>
        </is>
      </c>
      <c r="F78" s="55" t="inlineStr">
        <is>
          <t>P4</t>
        </is>
      </c>
      <c r="G78" s="36" t="n"/>
      <c r="H78" s="38" t="n">
        <v>2</v>
      </c>
      <c r="I78" s="36" t="n"/>
      <c r="J78" s="49" t="n">
        <v>46343</v>
      </c>
      <c r="K78" s="49" t="n">
        <v>46346</v>
      </c>
      <c r="L78" s="36" t="n"/>
    </row>
    <row r="79" ht="14.4" customHeight="1">
      <c r="B79" s="53" t="inlineStr">
        <is>
          <t>M23</t>
        </is>
      </c>
      <c r="C79" s="53" t="inlineStr">
        <is>
          <t>T076</t>
        </is>
      </c>
      <c r="D79" s="28" t="inlineStr">
        <is>
          <t>Testing, UAT &amp; Cutover</t>
        </is>
      </c>
      <c r="E79" s="25" t="inlineStr">
        <is>
          <t>Data sync testing</t>
        </is>
      </c>
      <c r="F79" s="55" t="inlineStr">
        <is>
          <t>P5</t>
        </is>
      </c>
      <c r="G79" s="36" t="n"/>
      <c r="H79" s="38" t="n">
        <v>1</v>
      </c>
      <c r="I79" s="36" t="n"/>
      <c r="J79" s="49" t="n">
        <v>46349</v>
      </c>
      <c r="K79" s="49" t="n">
        <v>46353</v>
      </c>
      <c r="L79" s="36" t="n"/>
    </row>
    <row r="80" ht="14.4" customHeight="1">
      <c r="B80" s="53" t="inlineStr">
        <is>
          <t>M23</t>
        </is>
      </c>
      <c r="C80" s="53" t="inlineStr">
        <is>
          <t>T077</t>
        </is>
      </c>
      <c r="D80" s="28" t="inlineStr">
        <is>
          <t>Testing, UAT &amp; Cutover</t>
        </is>
      </c>
      <c r="E80" s="28" t="inlineStr">
        <is>
          <t>Claim assignment workflow testing</t>
        </is>
      </c>
      <c r="F80" s="55" t="inlineStr">
        <is>
          <t>P5</t>
        </is>
      </c>
      <c r="G80" s="36" t="n"/>
      <c r="H80" s="38" t="n">
        <v>1</v>
      </c>
      <c r="I80" s="36" t="n"/>
      <c r="J80" s="49" t="n">
        <v>46349</v>
      </c>
      <c r="K80" s="49" t="n">
        <v>46353</v>
      </c>
      <c r="L80" s="36" t="n"/>
    </row>
    <row r="81" ht="14.4" customHeight="1">
      <c r="B81" s="53" t="inlineStr">
        <is>
          <t>M23</t>
        </is>
      </c>
      <c r="C81" s="53" t="inlineStr">
        <is>
          <t>T078</t>
        </is>
      </c>
      <c r="D81" s="28" t="inlineStr">
        <is>
          <t>Testing, UAT &amp; Cutover</t>
        </is>
      </c>
      <c r="E81" s="28" t="inlineStr">
        <is>
          <t>Assignment Management Testing</t>
        </is>
      </c>
      <c r="F81" s="55" t="inlineStr">
        <is>
          <t>P5</t>
        </is>
      </c>
      <c r="G81" s="36" t="n"/>
      <c r="H81" s="38" t="n">
        <v>1</v>
      </c>
      <c r="I81" s="36" t="n"/>
      <c r="J81" s="49" t="n">
        <v>46349</v>
      </c>
      <c r="K81" s="49" t="n">
        <v>46353</v>
      </c>
      <c r="L81" s="36" t="n"/>
    </row>
    <row r="82" ht="14.4" customHeight="1">
      <c r="B82" s="53" t="inlineStr">
        <is>
          <t>M23</t>
        </is>
      </c>
      <c r="C82" s="53" t="inlineStr">
        <is>
          <t>T079</t>
        </is>
      </c>
      <c r="D82" s="28" t="inlineStr">
        <is>
          <t>Testing, UAT &amp; Cutover</t>
        </is>
      </c>
      <c r="E82" s="28" t="inlineStr">
        <is>
          <t>Escalation Workflow testing</t>
        </is>
      </c>
      <c r="F82" s="55" t="inlineStr">
        <is>
          <t>P5</t>
        </is>
      </c>
      <c r="G82" s="36" t="n"/>
      <c r="H82" s="38" t="n">
        <v>1</v>
      </c>
      <c r="I82" s="36" t="n"/>
      <c r="J82" s="49" t="n">
        <v>46349</v>
      </c>
      <c r="K82" s="49" t="n">
        <v>46353</v>
      </c>
      <c r="L82" s="36" t="n"/>
    </row>
    <row r="83" ht="14.4" customHeight="1">
      <c r="B83" s="53" t="inlineStr">
        <is>
          <t>M23</t>
        </is>
      </c>
      <c r="C83" s="53" t="inlineStr">
        <is>
          <t>T080</t>
        </is>
      </c>
      <c r="D83" s="28" t="inlineStr">
        <is>
          <t>Testing, UAT &amp; Cutover</t>
        </is>
      </c>
      <c r="E83" s="32" t="inlineStr">
        <is>
          <t>UAT with pilot labs; defect fixing</t>
        </is>
      </c>
      <c r="F83" s="55" t="inlineStr">
        <is>
          <t>P5</t>
        </is>
      </c>
      <c r="G83" s="36" t="n"/>
      <c r="H83" s="38" t="n">
        <v>1</v>
      </c>
      <c r="I83" s="36" t="n"/>
      <c r="J83" s="49" t="n">
        <v>46349</v>
      </c>
      <c r="K83" s="49" t="n">
        <v>46353</v>
      </c>
      <c r="L83" s="36" t="n"/>
    </row>
    <row r="84" ht="14.4" customHeight="1">
      <c r="B84" s="53" t="inlineStr">
        <is>
          <t>M23</t>
        </is>
      </c>
      <c r="C84" s="53" t="inlineStr">
        <is>
          <t>T081</t>
        </is>
      </c>
      <c r="D84" s="28" t="inlineStr">
        <is>
          <t>Testing, UAT &amp; Cutover</t>
        </is>
      </c>
      <c r="E84" s="32" t="inlineStr">
        <is>
          <t>Training, SOP update</t>
        </is>
      </c>
      <c r="F84" s="55" t="inlineStr">
        <is>
          <t>P5</t>
        </is>
      </c>
      <c r="G84" s="36" t="n"/>
      <c r="H84" s="38" t="n">
        <v>1</v>
      </c>
      <c r="I84" s="36" t="n"/>
      <c r="J84" s="49" t="n">
        <v>46349</v>
      </c>
      <c r="K84" s="49" t="n">
        <v>46353</v>
      </c>
      <c r="L84" s="36" t="n"/>
    </row>
    <row r="85" ht="14.4" customHeight="1">
      <c r="B85" s="53" t="inlineStr">
        <is>
          <t>M23</t>
        </is>
      </c>
      <c r="C85" s="53" t="inlineStr">
        <is>
          <t>T082</t>
        </is>
      </c>
      <c r="D85" s="28" t="inlineStr">
        <is>
          <t>Go-Live</t>
        </is>
      </c>
      <c r="E85" s="28" t="inlineStr">
        <is>
          <t>Go-live and System monitoring</t>
        </is>
      </c>
      <c r="F85" s="55" t="inlineStr">
        <is>
          <t>P5</t>
        </is>
      </c>
      <c r="G85" s="36" t="n"/>
      <c r="H85" s="38" t="n">
        <v>1</v>
      </c>
      <c r="I85" s="36" t="n"/>
      <c r="J85" s="49" t="n">
        <v>46349</v>
      </c>
      <c r="K85" s="49" t="n">
        <v>46353</v>
      </c>
      <c r="L85" s="36" t="n"/>
    </row>
    <row r="86">
      <c r="E86" s="29" t="n"/>
      <c r="F86" s="29" t="n"/>
    </row>
    <row r="87">
      <c r="E87" s="29" t="n"/>
      <c r="F87" s="29" t="n"/>
    </row>
    <row r="88">
      <c r="E88" s="29" t="n"/>
      <c r="F88" s="29" t="n"/>
    </row>
    <row r="89">
      <c r="E89" s="29" t="n"/>
      <c r="F89" s="29" t="n"/>
    </row>
    <row r="90">
      <c r="E90" s="29" t="n"/>
      <c r="F90" s="29" t="n"/>
    </row>
    <row r="91">
      <c r="E91" s="29" t="n"/>
      <c r="F91" s="29" t="n"/>
    </row>
    <row r="92">
      <c r="E92" s="29" t="n"/>
      <c r="F92" s="29" t="n"/>
    </row>
    <row r="93">
      <c r="E93" s="29" t="n"/>
      <c r="F93" s="29" t="n"/>
    </row>
    <row r="94">
      <c r="E94" s="29" t="n"/>
      <c r="F94" s="29" t="n"/>
    </row>
    <row r="95">
      <c r="E95" s="29" t="n"/>
      <c r="F95" s="29" t="n"/>
    </row>
    <row r="96">
      <c r="E96" s="29" t="n"/>
      <c r="F96" s="29" t="n"/>
    </row>
    <row r="97">
      <c r="E97" s="29" t="n"/>
      <c r="F97" s="29" t="n"/>
    </row>
    <row r="98">
      <c r="E98" s="29" t="n"/>
      <c r="F98" s="29" t="n"/>
    </row>
    <row r="99">
      <c r="E99" s="29" t="n"/>
      <c r="F99" s="29" t="n"/>
    </row>
    <row r="100">
      <c r="E100" s="29" t="n"/>
      <c r="F100" s="29" t="n"/>
    </row>
    <row r="101">
      <c r="E101" s="29" t="n"/>
      <c r="F101" s="29" t="n"/>
    </row>
    <row r="102">
      <c r="E102" s="29" t="n"/>
      <c r="F102" s="29" t="n"/>
    </row>
    <row r="103">
      <c r="E103" s="29" t="n"/>
      <c r="F103" s="29" t="n"/>
    </row>
    <row r="104">
      <c r="E104" s="29" t="n"/>
      <c r="F104" s="29" t="n"/>
    </row>
    <row r="105">
      <c r="E105" s="29" t="n"/>
      <c r="F105" s="29" t="n"/>
    </row>
    <row r="106">
      <c r="E106" s="29" t="n"/>
      <c r="F106" s="29" t="n"/>
    </row>
    <row r="107">
      <c r="E107" s="29" t="n"/>
      <c r="F107" s="29" t="n"/>
    </row>
    <row r="108">
      <c r="E108" s="29" t="n"/>
      <c r="F108" s="29" t="n"/>
    </row>
    <row r="109">
      <c r="E109" s="29" t="n"/>
      <c r="F109" s="29" t="n"/>
    </row>
    <row r="110">
      <c r="E110" s="29" t="n"/>
      <c r="F110" s="29" t="n"/>
    </row>
    <row r="111">
      <c r="E111" s="29" t="n"/>
      <c r="F111" s="29" t="n"/>
    </row>
    <row r="112">
      <c r="E112" s="29" t="n"/>
      <c r="F112" s="29" t="n"/>
    </row>
    <row r="113">
      <c r="E113" s="29" t="n"/>
      <c r="F113" s="29" t="n"/>
    </row>
    <row r="114">
      <c r="E114" s="29" t="n"/>
      <c r="F114" s="29" t="n"/>
    </row>
    <row r="115">
      <c r="E115" s="29" t="n"/>
      <c r="F115" s="29" t="n"/>
    </row>
    <row r="116">
      <c r="E116" s="29" t="n"/>
      <c r="F116" s="29" t="n"/>
    </row>
    <row r="117">
      <c r="E117" s="29" t="n"/>
      <c r="F117" s="29" t="n"/>
    </row>
    <row r="118">
      <c r="E118" s="29" t="n"/>
      <c r="F118" s="29" t="n"/>
    </row>
    <row r="119">
      <c r="E119" s="29" t="n"/>
      <c r="F119" s="29" t="n"/>
    </row>
    <row r="120">
      <c r="E120" s="29" t="n"/>
      <c r="F120" s="29" t="n"/>
    </row>
    <row r="121">
      <c r="E121" s="29" t="n"/>
      <c r="F121" s="29" t="n"/>
    </row>
    <row r="122">
      <c r="E122" s="29" t="n"/>
      <c r="F122" s="29" t="n"/>
    </row>
    <row r="123">
      <c r="E123" s="29" t="n"/>
      <c r="F123" s="29" t="n"/>
    </row>
    <row r="124">
      <c r="E124" s="29" t="n"/>
      <c r="F124" s="29" t="n"/>
    </row>
    <row r="125">
      <c r="E125" s="29" t="n"/>
      <c r="F125" s="29" t="n"/>
    </row>
    <row r="126">
      <c r="E126" s="29" t="n"/>
      <c r="F126" s="29" t="n"/>
    </row>
    <row r="127">
      <c r="E127" s="29" t="n"/>
      <c r="F127" s="29" t="n"/>
    </row>
    <row r="128">
      <c r="E128" s="29" t="n"/>
      <c r="F128" s="29" t="n"/>
    </row>
    <row r="129">
      <c r="E129" s="29" t="n"/>
      <c r="F129" s="29" t="n"/>
    </row>
    <row r="130">
      <c r="E130" s="29" t="n"/>
      <c r="F130" s="29" t="n"/>
    </row>
    <row r="131">
      <c r="E131" s="29" t="n"/>
      <c r="F131" s="29" t="n"/>
    </row>
    <row r="132">
      <c r="E132" s="29" t="n"/>
      <c r="F132" s="29" t="n"/>
    </row>
    <row r="133">
      <c r="E133" s="29" t="n"/>
      <c r="F133" s="29" t="n"/>
    </row>
    <row r="134">
      <c r="E134" s="29" t="n"/>
      <c r="F134" s="29" t="n"/>
    </row>
    <row r="135">
      <c r="E135" s="29" t="n"/>
      <c r="F135" s="29" t="n"/>
    </row>
    <row r="136">
      <c r="E136" s="29" t="n"/>
      <c r="F136" s="29" t="n"/>
    </row>
    <row r="137">
      <c r="E137" s="29" t="n"/>
      <c r="F137" s="29" t="n"/>
    </row>
    <row r="138">
      <c r="E138" s="29" t="n"/>
      <c r="F138" s="29" t="n"/>
    </row>
    <row r="139">
      <c r="E139" s="29" t="n"/>
      <c r="F139" s="29" t="n"/>
    </row>
    <row r="140">
      <c r="E140" s="29" t="n"/>
      <c r="F140" s="29" t="n"/>
    </row>
    <row r="141">
      <c r="E141" s="29" t="n"/>
      <c r="F141" s="29" t="n"/>
    </row>
    <row r="142">
      <c r="E142" s="29" t="n"/>
      <c r="F142" s="29" t="n"/>
    </row>
    <row r="143">
      <c r="E143" s="29" t="n"/>
      <c r="F143" s="29" t="n"/>
    </row>
    <row r="144">
      <c r="E144" s="29" t="n"/>
      <c r="F144" s="29" t="n"/>
    </row>
    <row r="145">
      <c r="E145" s="29" t="n"/>
      <c r="F145" s="29" t="n"/>
    </row>
    <row r="146">
      <c r="E146" s="29" t="n"/>
      <c r="F146" s="29" t="n"/>
    </row>
    <row r="147">
      <c r="E147" s="29" t="n"/>
      <c r="F147" s="29" t="n"/>
    </row>
    <row r="148">
      <c r="E148" s="29" t="n"/>
      <c r="F148" s="29" t="n"/>
    </row>
    <row r="149">
      <c r="E149" s="29" t="n"/>
      <c r="F149" s="29" t="n"/>
    </row>
    <row r="150">
      <c r="E150" s="29" t="n"/>
      <c r="F150" s="29" t="n"/>
    </row>
    <row r="151">
      <c r="E151" s="29" t="n"/>
      <c r="F151" s="29" t="n"/>
    </row>
    <row r="152">
      <c r="E152" s="29" t="n"/>
      <c r="F152" s="29" t="n"/>
    </row>
    <row r="153">
      <c r="E153" s="29" t="n"/>
      <c r="F153" s="29" t="n"/>
    </row>
    <row r="154">
      <c r="E154" s="29" t="n"/>
      <c r="F154" s="29" t="n"/>
    </row>
    <row r="155">
      <c r="E155" s="29" t="n"/>
      <c r="F155" s="29" t="n"/>
    </row>
    <row r="156">
      <c r="E156" s="29" t="n"/>
      <c r="F156" s="29" t="n"/>
    </row>
    <row r="157">
      <c r="E157" s="29" t="n"/>
      <c r="F157" s="29" t="n"/>
    </row>
    <row r="158">
      <c r="E158" s="29" t="n"/>
      <c r="F158" s="29" t="n"/>
    </row>
    <row r="159">
      <c r="E159" s="29" t="n"/>
      <c r="F159" s="29" t="n"/>
    </row>
    <row r="160">
      <c r="E160" s="29" t="n"/>
      <c r="F160" s="29" t="n"/>
    </row>
    <row r="161">
      <c r="E161" s="29" t="n"/>
      <c r="F161" s="29" t="n"/>
    </row>
    <row r="162">
      <c r="E162" s="29" t="n"/>
      <c r="F162" s="29" t="n"/>
    </row>
    <row r="163">
      <c r="E163" s="29" t="n"/>
      <c r="F163" s="29" t="n"/>
    </row>
    <row r="164">
      <c r="E164" s="29" t="n"/>
      <c r="F164" s="29" t="n"/>
    </row>
    <row r="165">
      <c r="E165" s="29" t="n"/>
      <c r="F165" s="29" t="n"/>
    </row>
    <row r="166">
      <c r="E166" s="29" t="n"/>
      <c r="F166" s="29" t="n"/>
    </row>
    <row r="167">
      <c r="E167" s="29" t="n"/>
      <c r="F167" s="29" t="n"/>
    </row>
    <row r="168">
      <c r="E168" s="29" t="n"/>
      <c r="F168" s="29" t="n"/>
    </row>
    <row r="169">
      <c r="E169" s="29" t="n"/>
      <c r="F169" s="29" t="n"/>
    </row>
    <row r="170">
      <c r="E170" s="29" t="n"/>
      <c r="F170" s="29" t="n"/>
    </row>
    <row r="171">
      <c r="E171" s="29" t="n"/>
      <c r="F171" s="29" t="n"/>
    </row>
    <row r="172">
      <c r="E172" s="29" t="n"/>
      <c r="F172" s="29" t="n"/>
    </row>
    <row r="173">
      <c r="E173" s="29" t="n"/>
      <c r="F173" s="29" t="n"/>
    </row>
    <row r="174">
      <c r="E174" s="29" t="n"/>
      <c r="F174" s="29" t="n"/>
    </row>
    <row r="175">
      <c r="E175" s="29" t="n"/>
      <c r="F175" s="29" t="n"/>
    </row>
    <row r="176">
      <c r="E176" s="29" t="n"/>
      <c r="F176" s="29" t="n"/>
    </row>
    <row r="177">
      <c r="E177" s="29" t="n"/>
      <c r="F177" s="29" t="n"/>
    </row>
    <row r="178">
      <c r="E178" s="29" t="n"/>
      <c r="F178" s="29" t="n"/>
    </row>
    <row r="179">
      <c r="E179" s="29" t="n"/>
      <c r="F179" s="29" t="n"/>
    </row>
    <row r="180">
      <c r="E180" s="29" t="n"/>
      <c r="F180" s="29" t="n"/>
    </row>
    <row r="181">
      <c r="E181" s="29" t="n"/>
      <c r="F181" s="29" t="n"/>
    </row>
    <row r="182">
      <c r="E182" s="29" t="n"/>
      <c r="F182" s="29" t="n"/>
    </row>
    <row r="183">
      <c r="E183" s="29" t="n"/>
      <c r="F183" s="29" t="n"/>
    </row>
    <row r="184">
      <c r="E184" s="29" t="n"/>
      <c r="F184" s="29" t="n"/>
    </row>
    <row r="185">
      <c r="E185" s="29" t="n"/>
      <c r="F185" s="29" t="n"/>
    </row>
    <row r="186">
      <c r="E186" s="29" t="n"/>
      <c r="F186" s="29" t="n"/>
    </row>
    <row r="187">
      <c r="E187" s="29" t="n"/>
      <c r="F187" s="29" t="n"/>
    </row>
    <row r="188">
      <c r="E188" s="29" t="n"/>
      <c r="F188" s="29" t="n"/>
    </row>
    <row r="189">
      <c r="E189" s="29" t="n"/>
      <c r="F189" s="29" t="n"/>
    </row>
    <row r="190">
      <c r="E190" s="29" t="n"/>
      <c r="F190" s="29" t="n"/>
    </row>
    <row r="191">
      <c r="E191" s="29" t="n"/>
      <c r="F191" s="29" t="n"/>
    </row>
    <row r="192">
      <c r="E192" s="29" t="n"/>
      <c r="F192" s="29" t="n"/>
    </row>
    <row r="193">
      <c r="E193" s="29" t="n"/>
      <c r="F193" s="29" t="n"/>
    </row>
    <row r="194">
      <c r="E194" s="29" t="n"/>
      <c r="F194" s="29" t="n"/>
    </row>
    <row r="195">
      <c r="E195" s="29" t="n"/>
      <c r="F195" s="29" t="n"/>
    </row>
    <row r="196">
      <c r="E196" s="29" t="n"/>
      <c r="F196" s="29" t="n"/>
    </row>
    <row r="197">
      <c r="E197" s="29" t="n"/>
      <c r="F197" s="29" t="n"/>
    </row>
    <row r="198">
      <c r="E198" s="29" t="n"/>
      <c r="F198" s="29" t="n"/>
    </row>
    <row r="199">
      <c r="E199" s="29" t="n"/>
      <c r="F199" s="29" t="n"/>
    </row>
    <row r="200">
      <c r="E200" s="29" t="n"/>
      <c r="F200" s="29" t="n"/>
    </row>
    <row r="201">
      <c r="E201" s="29" t="n"/>
      <c r="F201" s="29" t="n"/>
    </row>
    <row r="202">
      <c r="E202" s="29" t="n"/>
      <c r="F202" s="29" t="n"/>
    </row>
    <row r="203">
      <c r="E203" s="29" t="n"/>
      <c r="F203" s="29" t="n"/>
    </row>
    <row r="204">
      <c r="E204" s="29" t="n"/>
      <c r="F204" s="29" t="n"/>
    </row>
    <row r="205">
      <c r="E205" s="29" t="n"/>
      <c r="F205" s="29" t="n"/>
    </row>
    <row r="206">
      <c r="E206" s="29" t="n"/>
      <c r="F206" s="29" t="n"/>
    </row>
    <row r="207">
      <c r="E207" s="29" t="n"/>
      <c r="F207" s="29" t="n"/>
    </row>
    <row r="208">
      <c r="E208" s="29" t="n"/>
      <c r="F208" s="29" t="n"/>
    </row>
    <row r="209">
      <c r="E209" s="29" t="n"/>
      <c r="F209" s="29" t="n"/>
    </row>
    <row r="210">
      <c r="E210" s="29" t="n"/>
      <c r="F210" s="29" t="n"/>
    </row>
    <row r="211">
      <c r="E211" s="29" t="n"/>
      <c r="F211" s="29" t="n"/>
    </row>
    <row r="212">
      <c r="E212" s="29" t="n"/>
      <c r="F212" s="29" t="n"/>
    </row>
    <row r="213">
      <c r="E213" s="29" t="n"/>
      <c r="F213" s="29" t="n"/>
    </row>
    <row r="214">
      <c r="E214" s="29" t="n"/>
      <c r="F214" s="29" t="n"/>
    </row>
    <row r="215">
      <c r="E215" s="29" t="n"/>
      <c r="F215" s="29" t="n"/>
    </row>
    <row r="216">
      <c r="E216" s="29" t="n"/>
      <c r="F216" s="29" t="n"/>
    </row>
    <row r="217">
      <c r="E217" s="29" t="n"/>
      <c r="F217" s="29" t="n"/>
    </row>
    <row r="218">
      <c r="E218" s="29" t="n"/>
      <c r="F218" s="29" t="n"/>
    </row>
    <row r="219">
      <c r="E219" s="29" t="n"/>
      <c r="F219" s="29" t="n"/>
    </row>
    <row r="220">
      <c r="E220" s="29" t="n"/>
      <c r="F220" s="29" t="n"/>
    </row>
    <row r="221">
      <c r="E221" s="29" t="n"/>
      <c r="F221" s="29" t="n"/>
    </row>
    <row r="222">
      <c r="E222" s="29" t="n"/>
      <c r="F222" s="29" t="n"/>
    </row>
    <row r="223">
      <c r="E223" s="29" t="n"/>
      <c r="F223" s="29" t="n"/>
    </row>
    <row r="224">
      <c r="E224" s="29" t="n"/>
      <c r="F224" s="29" t="n"/>
    </row>
    <row r="225">
      <c r="E225" s="29" t="n"/>
      <c r="F225" s="29" t="n"/>
    </row>
    <row r="226">
      <c r="E226" s="29" t="n"/>
      <c r="F226" s="29" t="n"/>
    </row>
    <row r="227">
      <c r="E227" s="29" t="n"/>
      <c r="F227" s="29" t="n"/>
    </row>
    <row r="228">
      <c r="E228" s="29" t="n"/>
      <c r="F228" s="29" t="n"/>
    </row>
    <row r="229">
      <c r="E229" s="29" t="n"/>
      <c r="F229" s="29" t="n"/>
    </row>
    <row r="230">
      <c r="E230" s="29" t="n"/>
      <c r="F230" s="29" t="n"/>
    </row>
    <row r="231">
      <c r="E231" s="29" t="n"/>
      <c r="F231" s="29" t="n"/>
    </row>
    <row r="232">
      <c r="E232" s="29" t="n"/>
      <c r="F232" s="29" t="n"/>
    </row>
    <row r="233">
      <c r="E233" s="29" t="n"/>
      <c r="F233" s="29" t="n"/>
    </row>
    <row r="234">
      <c r="E234" s="29" t="n"/>
      <c r="F234" s="29" t="n"/>
    </row>
    <row r="235">
      <c r="E235" s="29" t="n"/>
      <c r="F235" s="29" t="n"/>
    </row>
    <row r="236">
      <c r="E236" s="29" t="n"/>
      <c r="F236" s="29" t="n"/>
    </row>
    <row r="237">
      <c r="E237" s="29" t="n"/>
      <c r="F237" s="29" t="n"/>
    </row>
    <row r="238">
      <c r="E238" s="29" t="n"/>
      <c r="F238" s="29" t="n"/>
    </row>
    <row r="239">
      <c r="E239" s="29" t="n"/>
      <c r="F239" s="29" t="n"/>
    </row>
    <row r="240">
      <c r="E240" s="29" t="n"/>
      <c r="F240" s="29" t="n"/>
    </row>
    <row r="241">
      <c r="E241" s="29" t="n"/>
      <c r="F241" s="29" t="n"/>
    </row>
    <row r="242">
      <c r="E242" s="29" t="n"/>
      <c r="F242" s="29" t="n"/>
    </row>
    <row r="243">
      <c r="E243" s="29" t="n"/>
      <c r="F243" s="29" t="n"/>
    </row>
    <row r="244">
      <c r="E244" s="29" t="n"/>
      <c r="F244" s="29" t="n"/>
    </row>
    <row r="245">
      <c r="E245" s="29" t="n"/>
      <c r="F245" s="29" t="n"/>
    </row>
  </sheetData>
  <autoFilter ref="B3:L85"/>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1:N9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6" customWidth="1" min="3" max="3"/>
    <col width="9.5" customWidth="1" min="4" max="4"/>
    <col width="34" customWidth="1" min="5" max="5"/>
    <col width="8.5" customWidth="1" min="6" max="6"/>
    <col width="64" customWidth="1" min="7" max="7"/>
    <col width="8" customWidth="1" min="8" max="8"/>
    <col width="11" customWidth="1" min="9" max="9"/>
    <col width="18" customWidth="1" min="10" max="10"/>
    <col width="11" customWidth="1" min="11" max="11"/>
    <col width="11" customWidth="1" min="12" max="12"/>
    <col width="24" customWidth="1" min="13" max="13"/>
    <col width="70" customWidth="1" min="14" max="14"/>
  </cols>
  <sheetData>
    <row r="1">
      <c r="B1" s="58" t="inlineStr">
        <is>
          <t>AR Workflow Redesign Plan — Corrected Order</t>
        </is>
      </c>
    </row>
    <row r="2" ht="28" customHeight="1">
      <c r="B2" s="59" t="inlineStr">
        <is>
          <t>The same 82 tasks and estimates as the Plan sheet, re-sequenced so each task comes after what it depends on. Yellow rows moved; red notes flag duplicates to merge. Dates chain step by step from the start date (working days).</t>
        </is>
      </c>
    </row>
    <row r="3">
      <c r="B3" s="60" t="inlineStr">
        <is>
          <t>Plan start date</t>
        </is>
      </c>
      <c r="E3" s="61" t="n">
        <v>46293</v>
      </c>
      <c r="H3" s="60" t="inlineStr">
        <is>
          <t>Total days</t>
        </is>
      </c>
      <c r="I3" s="62">
        <f>SUM(I6:I87)</f>
        <v/>
      </c>
      <c r="J3" s="60" t="inlineStr">
        <is>
          <t>Go-live</t>
        </is>
      </c>
      <c r="K3" s="63">
        <f>MAX(L6:L87)</f>
        <v/>
      </c>
    </row>
    <row r="5" ht="30" customHeight="1">
      <c r="B5" s="17" t="inlineStr">
        <is>
          <t>Step</t>
        </is>
      </c>
      <c r="C5" s="17" t="inlineStr">
        <is>
          <t>Seq</t>
        </is>
      </c>
      <c r="D5" s="17" t="inlineStr">
        <is>
          <t>Module ID</t>
        </is>
      </c>
      <c r="E5" s="17" t="inlineStr">
        <is>
          <t>Module Name</t>
        </is>
      </c>
      <c r="F5" s="17" t="inlineStr">
        <is>
          <t>Task ID</t>
        </is>
      </c>
      <c r="G5" s="17" t="inlineStr">
        <is>
          <t>Task / Deliverable</t>
        </is>
      </c>
      <c r="H5" s="17" t="inlineStr">
        <is>
          <t>Phase</t>
        </is>
      </c>
      <c r="I5" s="17" t="inlineStr">
        <is>
          <t>Estimated No. of Days</t>
        </is>
      </c>
      <c r="J5" s="17" t="inlineStr">
        <is>
          <t>Depends On</t>
        </is>
      </c>
      <c r="K5" s="17" t="inlineStr">
        <is>
          <t>Start Date</t>
        </is>
      </c>
      <c r="L5" s="17" t="inlineStr">
        <is>
          <t>End Date</t>
        </is>
      </c>
      <c r="M5" s="17" t="inlineStr">
        <is>
          <t>Original Position (Plan sheet)</t>
        </is>
      </c>
      <c r="N5" s="17" t="inlineStr">
        <is>
          <t>Change &amp; Reason</t>
        </is>
      </c>
    </row>
    <row r="6">
      <c r="B6" s="64" t="n">
        <v>1</v>
      </c>
      <c r="C6" s="64" t="n">
        <v>1</v>
      </c>
      <c r="D6" s="64" t="inlineStr">
        <is>
          <t>M01</t>
        </is>
      </c>
      <c r="E6" s="65" t="inlineStr">
        <is>
          <t>Decision &amp; Logics Workshop</t>
        </is>
      </c>
      <c r="F6" s="64" t="inlineStr">
        <is>
          <t>T001</t>
        </is>
      </c>
      <c r="G6" s="65" t="inlineStr">
        <is>
          <t>Get the open clarifiations answered by the team</t>
        </is>
      </c>
      <c r="H6" s="66" t="inlineStr">
        <is>
          <t>P0</t>
        </is>
      </c>
      <c r="I6" s="64" t="n">
        <v>2</v>
      </c>
      <c r="J6" s="65" t="inlineStr">
        <is>
          <t>—</t>
        </is>
      </c>
      <c r="K6" s="67">
        <f>WORKDAY(E3-1,1)</f>
        <v/>
      </c>
      <c r="L6" s="67">
        <f>WORKDAY(K6,MAX(1,ROUNDUP(SUMIF($B$6:$B$87,B6,$I$6:$I$87),0))-1)</f>
        <v/>
      </c>
      <c r="M6" s="65" t="inlineStr">
        <is>
          <t>Row 4 · M01 · P0</t>
        </is>
      </c>
      <c r="N6" s="65" t="inlineStr">
        <is>
          <t>No change. Close D-01 … D-17 here: D-03 (primary category), D-04 / D-08 (recovery logic) and D-05 / D-06 (claim closure) change the data model and the queue engine built next.</t>
        </is>
      </c>
    </row>
    <row r="7">
      <c r="B7" s="68" t="n">
        <v>2</v>
      </c>
      <c r="C7" s="68" t="n">
        <v>2</v>
      </c>
      <c r="D7" s="68" t="inlineStr">
        <is>
          <t>M02</t>
        </is>
      </c>
      <c r="E7" s="69" t="inlineStr">
        <is>
          <t>Roles &amp; Permission Matrix Configuration</t>
        </is>
      </c>
      <c r="F7" s="68" t="inlineStr">
        <is>
          <t>T049</t>
        </is>
      </c>
      <c r="G7" s="69" t="inlineStr">
        <is>
          <t>Reusable components System Administrator = Lab Admin , AR Manager = RCM Manager, Create Team Lead, QA Reviewer, Viewer roles; permission-matrix table and API authorisation policies</t>
        </is>
      </c>
      <c r="H7" s="70" t="inlineStr">
        <is>
          <t>P1</t>
        </is>
      </c>
      <c r="I7" s="64" t="n">
        <v>0.75</v>
      </c>
      <c r="J7" s="65" t="inlineStr">
        <is>
          <t>T001</t>
        </is>
      </c>
      <c r="K7" s="67">
        <f>IF(B7=B6,K6,WORKDAY(L6,1))</f>
        <v/>
      </c>
      <c r="L7" s="67">
        <f>WORKDAY(K7,MAX(1,ROUNDUP(SUMIF($B$6:$B$87,B7,$I$6:$I$87),0))-1)</f>
        <v/>
      </c>
      <c r="M7" s="65" t="inlineStr">
        <is>
          <t>Row 52 · M11 · P2 → P1</t>
        </is>
      </c>
      <c r="N7" s="65" t="inlineStr">
        <is>
          <t>Moved from P2 (was after Follow-Up Management). Every screen's menu, route guard and API check reads the permission matrix, and My Work's own-caseload rule needs the agent role — building the screens first means going back to each one.</t>
        </is>
      </c>
    </row>
    <row r="8">
      <c r="B8" s="68" t="n">
        <v>2</v>
      </c>
      <c r="C8" s="68" t="n">
        <v>3</v>
      </c>
      <c r="D8" s="68" t="inlineStr">
        <is>
          <t>M02</t>
        </is>
      </c>
      <c r="E8" s="69" t="inlineStr">
        <is>
          <t>Roles &amp; Permission Matrix Configuration</t>
        </is>
      </c>
      <c r="F8" s="68" t="inlineStr">
        <is>
          <t>T050</t>
        </is>
      </c>
      <c r="G8" s="69" t="inlineStr">
        <is>
          <t>Config-driven navigation and route guards from the permission matrix</t>
        </is>
      </c>
      <c r="H8" s="70" t="inlineStr">
        <is>
          <t>P1</t>
        </is>
      </c>
      <c r="I8" s="64" t="n">
        <v>0.75</v>
      </c>
      <c r="J8" s="65" t="inlineStr">
        <is>
          <t>T049</t>
        </is>
      </c>
      <c r="K8" s="67">
        <f>IF(B8=B7,K7,WORKDAY(L7,1))</f>
        <v/>
      </c>
      <c r="L8" s="67">
        <f>WORKDAY(K8,MAX(1,ROUNDUP(SUMIF($B$6:$B$87,B8,$I$6:$I$87),0))-1)</f>
        <v/>
      </c>
      <c r="M8" s="65" t="inlineStr">
        <is>
          <t>Row 53 · M11 · P2 → P1</t>
        </is>
      </c>
      <c r="N8" s="65" t="inlineStr">
        <is>
          <t>Moved from P2 with T049. Module ID was a duplicate M11 (also used by Follow-Up Management).</t>
        </is>
      </c>
    </row>
    <row r="9">
      <c r="B9" s="68" t="n">
        <v>3</v>
      </c>
      <c r="C9" s="68" t="n">
        <v>4</v>
      </c>
      <c r="D9" s="68" t="inlineStr">
        <is>
          <t>M03</t>
        </is>
      </c>
      <c r="E9" s="69" t="inlineStr">
        <is>
          <t>View Only Access (Client / Clinic / Provider)</t>
        </is>
      </c>
      <c r="F9" s="68" t="inlineStr">
        <is>
          <t>T051</t>
        </is>
      </c>
      <c r="G9" s="69" t="inlineStr">
        <is>
          <t>Access-grant model (all / client / clinic / provider) and central scoped-claims filter on every query, export and report</t>
        </is>
      </c>
      <c r="H9" s="70" t="inlineStr">
        <is>
          <t>P1</t>
        </is>
      </c>
      <c r="I9" s="64" t="n">
        <v>0.15</v>
      </c>
      <c r="J9" s="65" t="inlineStr">
        <is>
          <t>T049</t>
        </is>
      </c>
      <c r="K9" s="67">
        <f>IF(B9=B8,K8,WORKDAY(L8,1))</f>
        <v/>
      </c>
      <c r="L9" s="67">
        <f>WORKDAY(K9,MAX(1,ROUNDUP(SUMIF($B$6:$B$87,B9,$I$6:$I$87),0))-1)</f>
        <v/>
      </c>
      <c r="M9" s="65" t="inlineStr">
        <is>
          <t>Row 54 · M12 · P2 → P1</t>
        </is>
      </c>
      <c r="N9" s="65" t="inlineStr">
        <is>
          <t>Moved from P2. The scoped-claims filter has to be in every query, export and report from the first one; adding it after the screens exist means revisiting every query.</t>
        </is>
      </c>
    </row>
    <row r="10">
      <c r="B10" s="68" t="n">
        <v>3</v>
      </c>
      <c r="C10" s="68" t="n">
        <v>5</v>
      </c>
      <c r="D10" s="68" t="inlineStr">
        <is>
          <t>M03</t>
        </is>
      </c>
      <c r="E10" s="69" t="inlineStr">
        <is>
          <t>View Only Access (Client / Clinic / Provider)</t>
        </is>
      </c>
      <c r="F10" s="68" t="inlineStr">
        <is>
          <t>T052</t>
        </is>
      </c>
      <c r="G10" s="69" t="inlineStr">
        <is>
          <t>Scope badge replacing client selector for scoped users</t>
        </is>
      </c>
      <c r="H10" s="70" t="inlineStr">
        <is>
          <t>P1</t>
        </is>
      </c>
      <c r="I10" s="64" t="n">
        <v>0.15</v>
      </c>
      <c r="J10" s="65" t="inlineStr">
        <is>
          <t>T051</t>
        </is>
      </c>
      <c r="K10" s="67">
        <f>IF(B10=B9,K9,WORKDAY(L9,1))</f>
        <v/>
      </c>
      <c r="L10" s="67">
        <f>WORKDAY(K10,MAX(1,ROUNDUP(SUMIF($B$6:$B$87,B10,$I$6:$I$87),0))-1)</f>
        <v/>
      </c>
      <c r="M10" s="65" t="inlineStr">
        <is>
          <t>Row 55 · M12 · P2 → P1</t>
        </is>
      </c>
      <c r="N10" s="65" t="inlineStr">
        <is>
          <t>Moved from P2 with T051.</t>
        </is>
      </c>
    </row>
    <row r="11">
      <c r="B11" s="68" t="n">
        <v>4</v>
      </c>
      <c r="C11" s="68" t="n">
        <v>6</v>
      </c>
      <c r="D11" s="68" t="inlineStr">
        <is>
          <t>M04</t>
        </is>
      </c>
      <c r="E11" s="69" t="inlineStr">
        <is>
          <t>System Settings (Masters)</t>
        </is>
      </c>
      <c r="F11" s="68" t="inlineStr">
        <is>
          <t>T012</t>
        </is>
      </c>
      <c r="G11" s="69" t="inlineStr">
        <is>
          <t>Denial Category master</t>
        </is>
      </c>
      <c r="H11" s="70" t="inlineStr">
        <is>
          <t>P1</t>
        </is>
      </c>
      <c r="I11" s="64" t="n">
        <v>0.25</v>
      </c>
      <c r="J11" s="65" t="inlineStr">
        <is>
          <t>T001 (D-03)</t>
        </is>
      </c>
      <c r="K11" s="67">
        <f>IF(B11=B10,K10,WORKDAY(L10,1))</f>
        <v/>
      </c>
      <c r="L11" s="67">
        <f>WORKDAY(K11,MAX(1,ROUNDUP(SUMIF($B$6:$B$87,B11,$I$6:$I$87),0))-1)</f>
        <v/>
      </c>
      <c r="M11" s="65" t="inlineStr">
        <is>
          <t>Row 15 · M03 · P1</t>
        </is>
      </c>
      <c r="N11" s="65" t="inlineStr">
        <is>
          <t>Moved ahead of the data sync: the sync and the queue engine read these masters.</t>
        </is>
      </c>
    </row>
    <row r="12">
      <c r="B12" s="68" t="n">
        <v>4</v>
      </c>
      <c r="C12" s="68" t="n">
        <v>7</v>
      </c>
      <c r="D12" s="68" t="inlineStr">
        <is>
          <t>M04</t>
        </is>
      </c>
      <c r="E12" s="69" t="inlineStr">
        <is>
          <t>System Settings (Masters)</t>
        </is>
      </c>
      <c r="F12" s="68" t="inlineStr">
        <is>
          <t>T013</t>
        </is>
      </c>
      <c r="G12" s="69" t="inlineStr">
        <is>
          <t>Timely Filling Master</t>
        </is>
      </c>
      <c r="H12" s="70" t="inlineStr">
        <is>
          <t>P1</t>
        </is>
      </c>
      <c r="I12" s="64" t="n">
        <v>0.25</v>
      </c>
      <c r="J12" s="65" t="inlineStr">
        <is>
          <t>T001</t>
        </is>
      </c>
      <c r="K12" s="67">
        <f>IF(B12=B11,K11,WORKDAY(L11,1))</f>
        <v/>
      </c>
      <c r="L12" s="67">
        <f>WORKDAY(K12,MAX(1,ROUNDUP(SUMIF($B$6:$B$87,B12,$I$6:$I$87),0))-1)</f>
        <v/>
      </c>
      <c r="M12" s="65" t="inlineStr">
        <is>
          <t>Row 16 · M03 · P1</t>
        </is>
      </c>
      <c r="N12" s="65" t="inlineStr">
        <is>
          <t>Moved ahead of the data sync. TFL thresholds are read by T040.</t>
        </is>
      </c>
    </row>
    <row r="13">
      <c r="B13" s="68" t="n">
        <v>4</v>
      </c>
      <c r="C13" s="68" t="n">
        <v>8</v>
      </c>
      <c r="D13" s="68" t="inlineStr">
        <is>
          <t>M04</t>
        </is>
      </c>
      <c r="E13" s="69" t="inlineStr">
        <is>
          <t>System Settings (Masters)</t>
        </is>
      </c>
      <c r="F13" s="68" t="inlineStr">
        <is>
          <t>T014</t>
        </is>
      </c>
      <c r="G13" s="69" t="inlineStr">
        <is>
          <t>Non Collectible Denial Code Master</t>
        </is>
      </c>
      <c r="H13" s="70" t="inlineStr">
        <is>
          <t>P1</t>
        </is>
      </c>
      <c r="I13" s="64" t="n">
        <v>0.25</v>
      </c>
      <c r="J13" s="65" t="inlineStr">
        <is>
          <t>T001</t>
        </is>
      </c>
      <c r="K13" s="67">
        <f>IF(B13=B12,K12,WORKDAY(L12,1))</f>
        <v/>
      </c>
      <c r="L13" s="67">
        <f>WORKDAY(K13,MAX(1,ROUNDUP(SUMIF($B$6:$B$87,B13,$I$6:$I$87),0))-1)</f>
        <v/>
      </c>
      <c r="M13" s="65" t="inlineStr">
        <is>
          <t>Row 17 · M03 · P1</t>
        </is>
      </c>
      <c r="N13" s="65" t="inlineStr">
        <is>
          <t>Moved ahead of the data sync: the Non-Collectible list drives the Non-Collectible sub-queues (T035) and Automatic Adjustment (T033).</t>
        </is>
      </c>
    </row>
    <row r="14">
      <c r="B14" s="68" t="n">
        <v>4</v>
      </c>
      <c r="C14" s="68" t="n">
        <v>9</v>
      </c>
      <c r="D14" s="68" t="inlineStr">
        <is>
          <t>M04</t>
        </is>
      </c>
      <c r="E14" s="69" t="inlineStr">
        <is>
          <t>System Settings (Masters)</t>
        </is>
      </c>
      <c r="F14" s="68" t="inlineStr">
        <is>
          <t>T015</t>
        </is>
      </c>
      <c r="G14" s="69" t="inlineStr">
        <is>
          <t>Follow up Notes Field Master | Claim Type, Followup Type, Claim Status</t>
        </is>
      </c>
      <c r="H14" s="70" t="inlineStr">
        <is>
          <t>P1</t>
        </is>
      </c>
      <c r="I14" s="64" t="n">
        <v>0.25</v>
      </c>
      <c r="J14" s="65" t="inlineStr">
        <is>
          <t>T001 (D-07)</t>
        </is>
      </c>
      <c r="K14" s="67">
        <f>IF(B14=B13,K13,WORKDAY(L13,1))</f>
        <v/>
      </c>
      <c r="L14" s="67">
        <f>WORKDAY(K14,MAX(1,ROUNDUP(SUMIF($B$6:$B$87,B14,$I$6:$I$87),0))-1)</f>
        <v/>
      </c>
      <c r="M14" s="65" t="inlineStr">
        <is>
          <t>Row 18 · M03 · P1</t>
        </is>
      </c>
      <c r="N14" s="65" t="inlineStr">
        <is>
          <t>Moved ahead of the data sync.</t>
        </is>
      </c>
    </row>
    <row r="15">
      <c r="B15" s="68" t="n">
        <v>4</v>
      </c>
      <c r="C15" s="68" t="n">
        <v>10</v>
      </c>
      <c r="D15" s="68" t="inlineStr">
        <is>
          <t>M04</t>
        </is>
      </c>
      <c r="E15" s="69" t="inlineStr">
        <is>
          <t>System Settings (Masters)</t>
        </is>
      </c>
      <c r="F15" s="68" t="inlineStr">
        <is>
          <t>T016</t>
        </is>
      </c>
      <c r="G15" s="69" t="inlineStr">
        <is>
          <t>Panel Type Master</t>
        </is>
      </c>
      <c r="H15" s="70" t="inlineStr">
        <is>
          <t>P1</t>
        </is>
      </c>
      <c r="I15" s="64" t="n">
        <v>0.25</v>
      </c>
      <c r="J15" s="65" t="inlineStr">
        <is>
          <t>T001</t>
        </is>
      </c>
      <c r="K15" s="67">
        <f>IF(B15=B14,K14,WORKDAY(L14,1))</f>
        <v/>
      </c>
      <c r="L15" s="67">
        <f>WORKDAY(K15,MAX(1,ROUNDUP(SUMIF($B$6:$B$87,B15,$I$6:$I$87),0))-1)</f>
        <v/>
      </c>
      <c r="M15" s="65" t="inlineStr">
        <is>
          <t>Row 19 · M03 · P1</t>
        </is>
      </c>
      <c r="N15" s="65" t="inlineStr">
        <is>
          <t>Moved ahead of the data sync.</t>
        </is>
      </c>
    </row>
    <row r="16">
      <c r="B16" s="68" t="n">
        <v>4</v>
      </c>
      <c r="C16" s="68" t="n">
        <v>11</v>
      </c>
      <c r="D16" s="68" t="inlineStr">
        <is>
          <t>M04</t>
        </is>
      </c>
      <c r="E16" s="69" t="inlineStr">
        <is>
          <t>System Settings (Masters)</t>
        </is>
      </c>
      <c r="F16" s="68" t="inlineStr">
        <is>
          <t>T017</t>
        </is>
      </c>
      <c r="G16" s="69" t="inlineStr">
        <is>
          <t>Denial Route Cause Master</t>
        </is>
      </c>
      <c r="H16" s="70" t="inlineStr">
        <is>
          <t>P1</t>
        </is>
      </c>
      <c r="I16" s="64" t="n">
        <v>0.25</v>
      </c>
      <c r="J16" s="65" t="inlineStr">
        <is>
          <t>T001</t>
        </is>
      </c>
      <c r="K16" s="67">
        <f>IF(B16=B15,K15,WORKDAY(L15,1))</f>
        <v/>
      </c>
      <c r="L16" s="67">
        <f>WORKDAY(K16,MAX(1,ROUNDUP(SUMIF($B$6:$B$87,B16,$I$6:$I$87),0))-1)</f>
        <v/>
      </c>
      <c r="M16" s="65" t="inlineStr">
        <is>
          <t>Row 20 · M03 · P1</t>
        </is>
      </c>
      <c r="N16" s="65" t="inlineStr">
        <is>
          <t>Moved ahead of the data sync.</t>
        </is>
      </c>
    </row>
    <row r="17">
      <c r="B17" s="68" t="n">
        <v>4</v>
      </c>
      <c r="C17" s="68" t="n">
        <v>12</v>
      </c>
      <c r="D17" s="68" t="inlineStr">
        <is>
          <t>M04</t>
        </is>
      </c>
      <c r="E17" s="69" t="inlineStr">
        <is>
          <t>System Settings (Masters)</t>
        </is>
      </c>
      <c r="F17" s="68" t="inlineStr">
        <is>
          <t>T018</t>
        </is>
      </c>
      <c r="G17" s="69" t="inlineStr">
        <is>
          <t>Fix / Resolution Master</t>
        </is>
      </c>
      <c r="H17" s="70" t="inlineStr">
        <is>
          <t>P1</t>
        </is>
      </c>
      <c r="I17" s="64" t="n">
        <v>0.25</v>
      </c>
      <c r="J17" s="65" t="inlineStr">
        <is>
          <t>T001</t>
        </is>
      </c>
      <c r="K17" s="67">
        <f>IF(B17=B16,K16,WORKDAY(L16,1))</f>
        <v/>
      </c>
      <c r="L17" s="67">
        <f>WORKDAY(K17,MAX(1,ROUNDUP(SUMIF($B$6:$B$87,B17,$I$6:$I$87),0))-1)</f>
        <v/>
      </c>
      <c r="M17" s="65" t="inlineStr">
        <is>
          <t>Row 21 · M03 · P1</t>
        </is>
      </c>
      <c r="N17" s="65" t="inlineStr">
        <is>
          <t>Moved ahead of the data sync.</t>
        </is>
      </c>
    </row>
    <row r="18">
      <c r="B18" s="68" t="n">
        <v>4</v>
      </c>
      <c r="C18" s="68" t="n">
        <v>13</v>
      </c>
      <c r="D18" s="68" t="inlineStr">
        <is>
          <t>M04</t>
        </is>
      </c>
      <c r="E18" s="69" t="inlineStr">
        <is>
          <t>System Settings (Masters)</t>
        </is>
      </c>
      <c r="F18" s="68" t="inlineStr">
        <is>
          <t>T019</t>
        </is>
      </c>
      <c r="G18" s="69" t="inlineStr">
        <is>
          <t>Denial Code - Denial Category Mapping Master</t>
        </is>
      </c>
      <c r="H18" s="70" t="inlineStr">
        <is>
          <t>P1</t>
        </is>
      </c>
      <c r="I18" s="64" t="n">
        <v>0.25</v>
      </c>
      <c r="J18" s="65" t="inlineStr">
        <is>
          <t>T012</t>
        </is>
      </c>
      <c r="K18" s="67">
        <f>IF(B18=B17,K17,WORKDAY(L17,1))</f>
        <v/>
      </c>
      <c r="L18" s="67">
        <f>WORKDAY(K18,MAX(1,ROUNDUP(SUMIF($B$6:$B$87,B18,$I$6:$I$87),0))-1)</f>
        <v/>
      </c>
      <c r="M18" s="65" t="inlineStr">
        <is>
          <t>Row 22 · M03 · P1</t>
        </is>
      </c>
      <c r="N18" s="65" t="inlineStr">
        <is>
          <t>Moved ahead of the data sync: the sync sets each claim's denial category from this map.</t>
        </is>
      </c>
    </row>
    <row r="19">
      <c r="B19" s="68" t="n">
        <v>4</v>
      </c>
      <c r="C19" s="68" t="n">
        <v>14</v>
      </c>
      <c r="D19" s="68" t="inlineStr">
        <is>
          <t>M04</t>
        </is>
      </c>
      <c r="E19" s="69" t="inlineStr">
        <is>
          <t>System Settings (Masters)</t>
        </is>
      </c>
      <c r="F19" s="68" t="inlineStr">
        <is>
          <t>T020</t>
        </is>
      </c>
      <c r="G19" s="69" t="inlineStr">
        <is>
          <t>CIP - Client Escalation Field Master</t>
        </is>
      </c>
      <c r="H19" s="70" t="inlineStr">
        <is>
          <t>P1</t>
        </is>
      </c>
      <c r="I19" s="64" t="n">
        <v>0.25</v>
      </c>
      <c r="J19" s="65" t="inlineStr">
        <is>
          <t>T001 (D-10)</t>
        </is>
      </c>
      <c r="K19" s="67">
        <f>IF(B19=B18,K18,WORKDAY(L18,1))</f>
        <v/>
      </c>
      <c r="L19" s="67">
        <f>WORKDAY(K19,MAX(1,ROUNDUP(SUMIF($B$6:$B$87,B19,$I$6:$I$87),0))-1)</f>
        <v/>
      </c>
      <c r="M19" s="65" t="inlineStr">
        <is>
          <t>Row 23 · M03 · P1</t>
        </is>
      </c>
      <c r="N19" s="65" t="inlineStr">
        <is>
          <t>Moved ahead of the data sync.</t>
        </is>
      </c>
    </row>
    <row r="20">
      <c r="B20" s="68" t="n">
        <v>4</v>
      </c>
      <c r="C20" s="68" t="n">
        <v>15</v>
      </c>
      <c r="D20" s="68" t="inlineStr">
        <is>
          <t>M04</t>
        </is>
      </c>
      <c r="E20" s="69" t="inlineStr">
        <is>
          <t>System Settings (Masters)</t>
        </is>
      </c>
      <c r="F20" s="68" t="inlineStr">
        <is>
          <t>T028</t>
        </is>
      </c>
      <c r="G20" s="69" t="inlineStr">
        <is>
          <t>Comments Framework masters (claim type, follow-up type, claim status, root cause, fix/resolution by status, CIP lists)</t>
        </is>
      </c>
      <c r="H20" s="70" t="inlineStr">
        <is>
          <t>P1</t>
        </is>
      </c>
      <c r="I20" s="64" t="n">
        <v>0.25</v>
      </c>
      <c r="J20" s="65" t="inlineStr">
        <is>
          <t>T015, T017, T018, T020</t>
        </is>
      </c>
      <c r="K20" s="67">
        <f>IF(B20=B19,K19,WORKDAY(L19,1))</f>
        <v/>
      </c>
      <c r="L20" s="67">
        <f>WORKDAY(K20,MAX(1,ROUNDUP(SUMIF($B$6:$B$87,B20,$I$6:$I$87),0))-1)</f>
        <v/>
      </c>
      <c r="M20" s="65" t="inlineStr">
        <is>
          <t>Row 31 · M06 · P1</t>
        </is>
      </c>
      <c r="N20" s="71" t="inlineStr">
        <is>
          <t>Moved here from Log Follow-Up Note. DUPLICATE of T015 / T017 / T018 / T020 (the same Comments Framework masters) — merge and drop one estimate.</t>
        </is>
      </c>
    </row>
    <row r="21">
      <c r="B21" s="68" t="n">
        <v>5</v>
      </c>
      <c r="C21" s="68" t="n">
        <v>16</v>
      </c>
      <c r="D21" s="68" t="inlineStr">
        <is>
          <t>M05</t>
        </is>
      </c>
      <c r="E21" s="69" t="inlineStr">
        <is>
          <t>AR Financial &amp; Recovery Data Model</t>
        </is>
      </c>
      <c r="F21" s="68" t="inlineStr">
        <is>
          <t>T023</t>
        </is>
      </c>
      <c r="G21" s="69" t="inlineStr">
        <is>
          <t>Schema: financial &amp; recovery fields (expected/actual payment, variance, underpayment, recovered, remaining AR, initial AR, financial class, secondary payer)</t>
        </is>
      </c>
      <c r="H21" s="70" t="inlineStr">
        <is>
          <t>P1</t>
        </is>
      </c>
      <c r="I21" s="64" t="n">
        <v>0.75</v>
      </c>
      <c r="J21" s="65" t="inlineStr">
        <is>
          <t>T001 (D-04, D-08)</t>
        </is>
      </c>
      <c r="K21" s="67">
        <f>IF(B21=B20,K20,WORKDAY(L20,1))</f>
        <v/>
      </c>
      <c r="L21" s="67">
        <f>WORKDAY(K21,MAX(1,ROUNDUP(SUMIF($B$6:$B$87,B21,$I$6:$I$87),0))-1)</f>
        <v/>
      </c>
      <c r="M21" s="65" t="inlineStr">
        <is>
          <t>Row 26 · M05 · P1</t>
        </is>
      </c>
      <c r="N21" s="65" t="inlineStr">
        <is>
          <t>Moved before the AR claim table and sync (was after the Work Queue). The financial and recovery columns belong in the AR claim table (T002); adding them after the sync is built means changing the table and the sync twice.</t>
        </is>
      </c>
    </row>
    <row r="22">
      <c r="B22" s="68" t="n">
        <v>6</v>
      </c>
      <c r="C22" s="68" t="n">
        <v>17</v>
      </c>
      <c r="D22" s="68" t="inlineStr">
        <is>
          <t>M06</t>
        </is>
      </c>
      <c r="E22" s="69" t="inlineStr">
        <is>
          <t>Workflow Event &amp; Snapshot Infrastructure</t>
        </is>
      </c>
      <c r="F22" s="68" t="inlineStr">
        <is>
          <t>T037</t>
        </is>
      </c>
      <c r="G22" s="69" t="inlineStr">
        <is>
          <t>Event tables: activity (incl. System actor), follow-ups, QA records, agent requests, CIP cases, action completion (GAP-3/4/5/8)</t>
        </is>
      </c>
      <c r="H22" s="70" t="inlineStr">
        <is>
          <t>P1</t>
        </is>
      </c>
      <c r="I22" s="64" t="n">
        <v>1.5</v>
      </c>
      <c r="J22" s="65" t="inlineStr">
        <is>
          <t>T023</t>
        </is>
      </c>
      <c r="K22" s="67">
        <f>IF(B22=B21,K21,WORKDAY(L21,1))</f>
        <v/>
      </c>
      <c r="L22" s="67">
        <f>WORKDAY(K22,MAX(1,ROUNDUP(SUMIF($B$6:$B$87,B22,$I$6:$I$87),0))-1)</f>
        <v/>
      </c>
      <c r="M22" s="65" t="inlineStr">
        <is>
          <t>Row 40 · M07 · P1</t>
        </is>
      </c>
      <c r="N22" s="65" t="inlineStr">
        <is>
          <t>Moved before the data sync: the sync writes the 'Claim Identified' / 'Source Data Updated' activity rows, and every later screen writes to these tables.</t>
        </is>
      </c>
    </row>
    <row r="23">
      <c r="B23" s="64" t="n">
        <v>7</v>
      </c>
      <c r="C23" s="64" t="n">
        <v>18</v>
      </c>
      <c r="D23" s="64" t="inlineStr">
        <is>
          <t>M07</t>
        </is>
      </c>
      <c r="E23" s="65" t="inlineStr">
        <is>
          <t>Data Processing &amp; Denial Analysis Report</t>
        </is>
      </c>
      <c r="F23" s="64" t="inlineStr">
        <is>
          <t>T002</t>
        </is>
      </c>
      <c r="G23" s="65" t="inlineStr">
        <is>
          <t>Create a AR Claim Level Data table</t>
        </is>
      </c>
      <c r="H23" s="70" t="inlineStr">
        <is>
          <t>P1</t>
        </is>
      </c>
      <c r="I23" s="64" t="n">
        <v>0.5</v>
      </c>
      <c r="J23" s="65" t="inlineStr">
        <is>
          <t>T023</t>
        </is>
      </c>
      <c r="K23" s="67">
        <f>IF(B23=B22,K22,WORKDAY(L22,1))</f>
        <v/>
      </c>
      <c r="L23" s="67">
        <f>WORKDAY(K23,MAX(1,ROUNDUP(SUMIF($B$6:$B$87,B23,$I$6:$I$87),0))-1)</f>
        <v/>
      </c>
      <c r="M23" s="65" t="inlineStr">
        <is>
          <t>Row 5 · M02 · P1</t>
        </is>
      </c>
      <c r="N23" s="65" t="inlineStr">
        <is>
          <t>No change in order within the module; now after the data model and masters it depends on.</t>
        </is>
      </c>
    </row>
    <row r="24">
      <c r="B24" s="64" t="n">
        <v>7</v>
      </c>
      <c r="C24" s="64" t="n">
        <v>19</v>
      </c>
      <c r="D24" s="64" t="inlineStr">
        <is>
          <t>M07</t>
        </is>
      </c>
      <c r="E24" s="65" t="inlineStr">
        <is>
          <t>Data Processing &amp; Denial Analysis Report</t>
        </is>
      </c>
      <c r="F24" s="64" t="inlineStr">
        <is>
          <t>T003</t>
        </is>
      </c>
      <c r="G24" s="65" t="inlineStr">
        <is>
          <t>Sync the AR claim level data from claim level data table 
Fully denied + Partially Denied + Patient Responsibility + No Response</t>
        </is>
      </c>
      <c r="H24" s="70" t="inlineStr">
        <is>
          <t>P1</t>
        </is>
      </c>
      <c r="I24" s="64" t="n">
        <v>0.5</v>
      </c>
      <c r="J24" s="65" t="inlineStr">
        <is>
          <t>T002, T012–T019, T037</t>
        </is>
      </c>
      <c r="K24" s="67">
        <f>IF(B24=B23,K23,WORKDAY(L23,1))</f>
        <v/>
      </c>
      <c r="L24" s="67">
        <f>WORKDAY(K24,MAX(1,ROUNDUP(SUMIF($B$6:$B$87,B24,$I$6:$I$87),0))-1)</f>
        <v/>
      </c>
      <c r="M24" s="65" t="inlineStr">
        <is>
          <t>Row 6 · M02 · P1</t>
        </is>
      </c>
      <c r="N24" s="65" t="inlineStr"/>
    </row>
    <row r="25">
      <c r="B25" s="64" t="n">
        <v>7</v>
      </c>
      <c r="C25" s="64" t="n">
        <v>20</v>
      </c>
      <c r="D25" s="64" t="inlineStr">
        <is>
          <t>M07</t>
        </is>
      </c>
      <c r="E25" s="65" t="inlineStr">
        <is>
          <t>Data Processing &amp; Denial Analysis Report</t>
        </is>
      </c>
      <c r="F25" s="64" t="inlineStr">
        <is>
          <t>T004</t>
        </is>
      </c>
      <c r="G25" s="65" t="inlineStr">
        <is>
          <t>Claim details mapping
Header Details | Overview Details | CPT \ Line Level Details | Denial Details | DOS | $ Values | CPT Details</t>
        </is>
      </c>
      <c r="H25" s="70" t="inlineStr">
        <is>
          <t>P1</t>
        </is>
      </c>
      <c r="I25" s="64" t="n">
        <v>0.5</v>
      </c>
      <c r="J25" s="65" t="inlineStr">
        <is>
          <t>T003</t>
        </is>
      </c>
      <c r="K25" s="67">
        <f>IF(B25=B24,K24,WORKDAY(L24,1))</f>
        <v/>
      </c>
      <c r="L25" s="67">
        <f>WORKDAY(K25,MAX(1,ROUNDUP(SUMIF($B$6:$B$87,B25,$I$6:$I$87),0))-1)</f>
        <v/>
      </c>
      <c r="M25" s="65" t="inlineStr">
        <is>
          <t>Row 7 · M02 · P1</t>
        </is>
      </c>
      <c r="N25" s="65" t="inlineStr"/>
    </row>
    <row r="26">
      <c r="B26" s="64" t="n">
        <v>7</v>
      </c>
      <c r="C26" s="64" t="n">
        <v>21</v>
      </c>
      <c r="D26" s="64" t="inlineStr">
        <is>
          <t>M07</t>
        </is>
      </c>
      <c r="E26" s="65" t="inlineStr">
        <is>
          <t>Data Processing &amp; Denial Analysis Report</t>
        </is>
      </c>
      <c r="F26" s="64" t="inlineStr">
        <is>
          <t>T005</t>
        </is>
      </c>
      <c r="G26" s="65" t="inlineStr">
        <is>
          <t>Create a AR Denial Insights table</t>
        </is>
      </c>
      <c r="H26" s="70" t="inlineStr">
        <is>
          <t>P1</t>
        </is>
      </c>
      <c r="I26" s="64" t="n">
        <v>0.5</v>
      </c>
      <c r="J26" s="65" t="inlineStr">
        <is>
          <t>T001</t>
        </is>
      </c>
      <c r="K26" s="67">
        <f>IF(B26=B25,K25,WORKDAY(L25,1))</f>
        <v/>
      </c>
      <c r="L26" s="67">
        <f>WORKDAY(K26,MAX(1,ROUNDUP(SUMIF($B$6:$B$87,B26,$I$6:$I$87),0))-1)</f>
        <v/>
      </c>
      <c r="M26" s="65" t="inlineStr">
        <is>
          <t>Row 8 · M02 · P1</t>
        </is>
      </c>
      <c r="N26" s="65" t="inlineStr"/>
    </row>
    <row r="27">
      <c r="B27" s="64" t="n">
        <v>7</v>
      </c>
      <c r="C27" s="64" t="n">
        <v>22</v>
      </c>
      <c r="D27" s="64" t="inlineStr">
        <is>
          <t>M07</t>
        </is>
      </c>
      <c r="E27" s="65" t="inlineStr">
        <is>
          <t>Data Processing &amp; Denial Analysis Report</t>
        </is>
      </c>
      <c r="F27" s="64" t="inlineStr">
        <is>
          <t>T006</t>
        </is>
      </c>
      <c r="G27" s="65" t="inlineStr">
        <is>
          <t>Sync the denial insights from denial summary report to the AR Denial Insights table
Current Week + Previous Week</t>
        </is>
      </c>
      <c r="H27" s="70" t="inlineStr">
        <is>
          <t>P1</t>
        </is>
      </c>
      <c r="I27" s="64" t="n">
        <v>0.5</v>
      </c>
      <c r="J27" s="65" t="inlineStr">
        <is>
          <t>T005</t>
        </is>
      </c>
      <c r="K27" s="67">
        <f>IF(B27=B26,K26,WORKDAY(L26,1))</f>
        <v/>
      </c>
      <c r="L27" s="67">
        <f>WORKDAY(K27,MAX(1,ROUNDUP(SUMIF($B$6:$B$87,B27,$I$6:$I$87),0))-1)</f>
        <v/>
      </c>
      <c r="M27" s="65" t="inlineStr">
        <is>
          <t>Row 9 · M02 · P1</t>
        </is>
      </c>
      <c r="N27" s="65" t="inlineStr"/>
    </row>
    <row r="28">
      <c r="B28" s="64" t="n">
        <v>7</v>
      </c>
      <c r="C28" s="64" t="n">
        <v>23</v>
      </c>
      <c r="D28" s="64" t="inlineStr">
        <is>
          <t>M07</t>
        </is>
      </c>
      <c r="E28" s="65" t="inlineStr">
        <is>
          <t>Data Processing &amp; Denial Analysis Report</t>
        </is>
      </c>
      <c r="F28" s="64" t="inlineStr">
        <is>
          <t>T007</t>
        </is>
      </c>
      <c r="G28" s="65" t="inlineStr">
        <is>
          <t>Maintain the week stamp in the AR denial insights table</t>
        </is>
      </c>
      <c r="H28" s="70" t="inlineStr">
        <is>
          <t>P1</t>
        </is>
      </c>
      <c r="I28" s="64" t="n">
        <v>0.15</v>
      </c>
      <c r="J28" s="65" t="inlineStr">
        <is>
          <t>T006</t>
        </is>
      </c>
      <c r="K28" s="67">
        <f>IF(B28=B27,K27,WORKDAY(L27,1))</f>
        <v/>
      </c>
      <c r="L28" s="67">
        <f>WORKDAY(K28,MAX(1,ROUNDUP(SUMIF($B$6:$B$87,B28,$I$6:$I$87),0))-1)</f>
        <v/>
      </c>
      <c r="M28" s="65" t="inlineStr">
        <is>
          <t>Row 10 · M02 · P1</t>
        </is>
      </c>
      <c r="N28" s="65" t="inlineStr"/>
    </row>
    <row r="29">
      <c r="B29" s="64" t="n">
        <v>7</v>
      </c>
      <c r="C29" s="64" t="n">
        <v>24</v>
      </c>
      <c r="D29" s="64" t="inlineStr">
        <is>
          <t>M07</t>
        </is>
      </c>
      <c r="E29" s="65" t="inlineStr">
        <is>
          <t>Data Processing &amp; Denial Analysis Report</t>
        </is>
      </c>
      <c r="F29" s="64" t="inlineStr">
        <is>
          <t>T008</t>
        </is>
      </c>
      <c r="G29" s="65" t="inlineStr">
        <is>
          <t>Sync the latest denial insights when Run Data Processing is clicked</t>
        </is>
      </c>
      <c r="H29" s="70" t="inlineStr">
        <is>
          <t>P1</t>
        </is>
      </c>
      <c r="I29" s="64" t="n">
        <v>0.25</v>
      </c>
      <c r="J29" s="65" t="inlineStr">
        <is>
          <t>T006</t>
        </is>
      </c>
      <c r="K29" s="67">
        <f>IF(B29=B28,K28,WORKDAY(L28,1))</f>
        <v/>
      </c>
      <c r="L29" s="67">
        <f>WORKDAY(K29,MAX(1,ROUNDUP(SUMIF($B$6:$B$87,B29,$I$6:$I$87),0))-1)</f>
        <v/>
      </c>
      <c r="M29" s="65" t="inlineStr">
        <is>
          <t>Row 11 · M02 · P1</t>
        </is>
      </c>
      <c r="N29" s="65" t="inlineStr"/>
    </row>
    <row r="30">
      <c r="B30" s="68" t="n">
        <v>7</v>
      </c>
      <c r="C30" s="68" t="n">
        <v>25</v>
      </c>
      <c r="D30" s="68" t="inlineStr">
        <is>
          <t>M07</t>
        </is>
      </c>
      <c r="E30" s="69" t="inlineStr">
        <is>
          <t>Data Processing &amp; Denial Analysis Report</t>
        </is>
      </c>
      <c r="F30" s="68" t="inlineStr">
        <is>
          <t>T024</t>
        </is>
      </c>
      <c r="G30" s="69" t="inlineStr">
        <is>
          <t>Weekly payment/AR refresh ETL from denial summary with recovery attribution rule (payment after AR activity)</t>
        </is>
      </c>
      <c r="H30" s="70" t="inlineStr">
        <is>
          <t>P1</t>
        </is>
      </c>
      <c r="I30" s="64" t="n">
        <v>0.75</v>
      </c>
      <c r="J30" s="65" t="inlineStr">
        <is>
          <t>T003, T023 (D-09)</t>
        </is>
      </c>
      <c r="K30" s="67">
        <f>IF(B30=B29,K29,WORKDAY(L29,1))</f>
        <v/>
      </c>
      <c r="L30" s="67">
        <f>WORKDAY(K30,MAX(1,ROUNDUP(SUMIF($B$6:$B$87,B30,$I$6:$I$87),0))-1)</f>
        <v/>
      </c>
      <c r="M30" s="65" t="inlineStr">
        <is>
          <t>Row 27 · M05 · P1</t>
        </is>
      </c>
      <c r="N30" s="65" t="inlineStr">
        <is>
          <t>Moved here from the Financial &amp; Recovery Data Model: the weekly payment / AR refresh runs inside the same weekly sync.</t>
        </is>
      </c>
    </row>
    <row r="31">
      <c r="B31" s="64" t="n">
        <v>7</v>
      </c>
      <c r="C31" s="64" t="n">
        <v>26</v>
      </c>
      <c r="D31" s="64" t="inlineStr">
        <is>
          <t>M07</t>
        </is>
      </c>
      <c r="E31" s="65" t="inlineStr">
        <is>
          <t>Data Processing &amp; Denial Analysis Report</t>
        </is>
      </c>
      <c r="F31" s="64" t="inlineStr">
        <is>
          <t>T009</t>
        </is>
      </c>
      <c r="G31" s="65" t="inlineStr">
        <is>
          <t>Data Processing screen: refresh status, source period, record count, Run Data Processing (sync + reclassify job)</t>
        </is>
      </c>
      <c r="H31" s="70" t="inlineStr">
        <is>
          <t>P1</t>
        </is>
      </c>
      <c r="I31" s="64" t="n">
        <v>0.1</v>
      </c>
      <c r="J31" s="65" t="inlineStr">
        <is>
          <t>T003, T008</t>
        </is>
      </c>
      <c r="K31" s="67">
        <f>IF(B31=B30,K30,WORKDAY(L30,1))</f>
        <v/>
      </c>
      <c r="L31" s="67">
        <f>WORKDAY(K31,MAX(1,ROUNDUP(SUMIF($B$6:$B$87,B31,$I$6:$I$87),0))-1)</f>
        <v/>
      </c>
      <c r="M31" s="65" t="inlineStr">
        <is>
          <t>Row 12 · M02 · P1</t>
        </is>
      </c>
      <c r="N31" s="65" t="inlineStr"/>
    </row>
    <row r="32">
      <c r="B32" s="68" t="n">
        <v>8</v>
      </c>
      <c r="C32" s="68" t="n">
        <v>27</v>
      </c>
      <c r="D32" s="68" t="inlineStr">
        <is>
          <t>M08</t>
        </is>
      </c>
      <c r="E32" s="69" t="inlineStr">
        <is>
          <t>Claim Lifecycle Rules &amp; AR Queue Classification Engine</t>
        </is>
      </c>
      <c r="F32" s="68" t="inlineStr">
        <is>
          <t>T034</t>
        </is>
      </c>
      <c r="G32" s="69" t="inlineStr">
        <is>
          <t>Lifecycle rules as domain services/SQL views: financially closed, work complete, open insurance AR, days since last touch, follow-up actionable</t>
        </is>
      </c>
      <c r="H32" s="70" t="inlineStr">
        <is>
          <t>P1</t>
        </is>
      </c>
      <c r="I32" s="64" t="n">
        <v>0.5</v>
      </c>
      <c r="J32" s="65" t="inlineStr">
        <is>
          <t>T003, T024 (D-05, D-06)</t>
        </is>
      </c>
      <c r="K32" s="67">
        <f>IF(B32=B31,K31,WORKDAY(L31,1))</f>
        <v/>
      </c>
      <c r="L32" s="67">
        <f>WORKDAY(K32,MAX(1,ROUNDUP(SUMIF($B$6:$B$87,B32,$I$6:$I$87),0))-1)</f>
        <v/>
      </c>
      <c r="M32" s="65" t="inlineStr">
        <is>
          <t>Row 37 · M07 · P1</t>
        </is>
      </c>
      <c r="N32" s="65" t="inlineStr">
        <is>
          <t>Moved before the Work Queue (was after it): the grid's Aging, TFL, Priority and AR Queue columns (T022) come from these rules.</t>
        </is>
      </c>
    </row>
    <row r="33">
      <c r="B33" s="68" t="n">
        <v>8</v>
      </c>
      <c r="C33" s="68" t="n">
        <v>28</v>
      </c>
      <c r="D33" s="68" t="inlineStr">
        <is>
          <t>M08</t>
        </is>
      </c>
      <c r="E33" s="69" t="inlineStr">
        <is>
          <t>Claim Lifecycle Rules &amp; AR Queue Classification Engine</t>
        </is>
      </c>
      <c r="F33" s="68" t="inlineStr">
        <is>
          <t>T035</t>
        </is>
      </c>
      <c r="G33" s="69" t="inlineStr">
        <is>
          <t>AR Queue classification engine (12 queues + collectible/non-collectible sub-queues), config-driven</t>
        </is>
      </c>
      <c r="H33" s="70" t="inlineStr">
        <is>
          <t>P1</t>
        </is>
      </c>
      <c r="I33" s="64" t="n">
        <v>0.25</v>
      </c>
      <c r="J33" s="65" t="inlineStr">
        <is>
          <t>T034, T014, T019</t>
        </is>
      </c>
      <c r="K33" s="67">
        <f>IF(B33=B32,K32,WORKDAY(L32,1))</f>
        <v/>
      </c>
      <c r="L33" s="67">
        <f>WORKDAY(K33,MAX(1,ROUNDUP(SUMIF($B$6:$B$87,B33,$I$6:$I$87),0))-1)</f>
        <v/>
      </c>
      <c r="M33" s="65" t="inlineStr">
        <is>
          <t>Row 38 · M07 · P1</t>
        </is>
      </c>
      <c r="N33" s="65" t="inlineStr">
        <is>
          <t>Moved before the Work Queue.</t>
        </is>
      </c>
    </row>
    <row r="34">
      <c r="B34" s="68" t="n">
        <v>8</v>
      </c>
      <c r="C34" s="68" t="n">
        <v>29</v>
      </c>
      <c r="D34" s="68" t="inlineStr">
        <is>
          <t>M08</t>
        </is>
      </c>
      <c r="E34" s="69" t="inlineStr">
        <is>
          <t>Claim Lifecycle Rules &amp; AR Queue Classification Engine</t>
        </is>
      </c>
      <c r="F34" s="68" t="inlineStr">
        <is>
          <t>T036</t>
        </is>
      </c>
      <c r="G34" s="69" t="inlineStr">
        <is>
          <t>New workflow status state machine and transition guards</t>
        </is>
      </c>
      <c r="H34" s="70" t="inlineStr">
        <is>
          <t>P1</t>
        </is>
      </c>
      <c r="I34" s="64" t="n">
        <v>0.5</v>
      </c>
      <c r="J34" s="65" t="inlineStr">
        <is>
          <t>T034, T037</t>
        </is>
      </c>
      <c r="K34" s="67">
        <f>IF(B34=B33,K33,WORKDAY(L33,1))</f>
        <v/>
      </c>
      <c r="L34" s="67">
        <f>WORKDAY(K34,MAX(1,ROUNDUP(SUMIF($B$6:$B$87,B34,$I$6:$I$87),0))-1)</f>
        <v/>
      </c>
      <c r="M34" s="65" t="inlineStr">
        <is>
          <t>Row 39 · M07 · P1</t>
        </is>
      </c>
      <c r="N34" s="65" t="inlineStr">
        <is>
          <t>Moved before the Work Queue and the follow-up note, which move claims through these statuses.</t>
        </is>
      </c>
    </row>
    <row r="35">
      <c r="B35" s="68" t="n">
        <v>9</v>
      </c>
      <c r="C35" s="68" t="n">
        <v>30</v>
      </c>
      <c r="D35" s="68" t="inlineStr">
        <is>
          <t>M09</t>
        </is>
      </c>
      <c r="E35" s="69" t="inlineStr">
        <is>
          <t>TFL Risk &amp; SLA Tracking</t>
        </is>
      </c>
      <c r="F35" s="68" t="inlineStr">
        <is>
          <t>T039</t>
        </is>
      </c>
      <c r="G35" s="69" t="inlineStr">
        <is>
          <t>Timely-filing thresholds by financial class; tflDeadline / tflRisk alongside existing SLA clock</t>
        </is>
      </c>
      <c r="H35" s="70" t="inlineStr">
        <is>
          <t>P1</t>
        </is>
      </c>
      <c r="I35" s="64" t="n">
        <v>0.25</v>
      </c>
      <c r="J35" s="65" t="inlineStr">
        <is>
          <t>T013, T034</t>
        </is>
      </c>
      <c r="K35" s="67">
        <f>IF(B35=B34,K34,WORKDAY(L34,1))</f>
        <v/>
      </c>
      <c r="L35" s="67">
        <f>WORKDAY(K35,MAX(1,ROUNDUP(SUMIF($B$6:$B$87,B35,$I$6:$I$87),0))-1)</f>
        <v/>
      </c>
      <c r="M35" s="65" t="inlineStr">
        <is>
          <t>Row 42 · M07 · P1</t>
        </is>
      </c>
      <c r="N35" s="71" t="inlineStr">
        <is>
          <t>Moved here from Workflow Event &amp; Snapshot Infrastructure. DUPLICATE of T040 (same text) — merge and drop one estimate.</t>
        </is>
      </c>
    </row>
    <row r="36">
      <c r="B36" s="68" t="n">
        <v>9</v>
      </c>
      <c r="C36" s="68" t="n">
        <v>31</v>
      </c>
      <c r="D36" s="68" t="inlineStr">
        <is>
          <t>M09</t>
        </is>
      </c>
      <c r="E36" s="69" t="inlineStr">
        <is>
          <t>TFL Risk &amp; SLA Tracking</t>
        </is>
      </c>
      <c r="F36" s="68" t="inlineStr">
        <is>
          <t>T040</t>
        </is>
      </c>
      <c r="G36" s="69" t="inlineStr">
        <is>
          <t>Appying Timely-filing thresholds by financial class; tflDeadline / tflRisk alongside existing SLA clock</t>
        </is>
      </c>
      <c r="H36" s="70" t="inlineStr">
        <is>
          <t>P1</t>
        </is>
      </c>
      <c r="I36" s="64" t="n">
        <v>0.15</v>
      </c>
      <c r="J36" s="65" t="inlineStr">
        <is>
          <t>T013, T034</t>
        </is>
      </c>
      <c r="K36" s="67">
        <f>IF(B36=B35,K35,WORKDAY(L35,1))</f>
        <v/>
      </c>
      <c r="L36" s="67">
        <f>WORKDAY(K36,MAX(1,ROUNDUP(SUMIF($B$6:$B$87,B36,$I$6:$I$87),0))-1)</f>
        <v/>
      </c>
      <c r="M36" s="65" t="inlineStr">
        <is>
          <t>Row 43 · M08 · P1</t>
        </is>
      </c>
      <c r="N36" s="65" t="inlineStr">
        <is>
          <t>Moved before the Work Queue: TFL is a Work Queue column and filter.</t>
        </is>
      </c>
    </row>
    <row r="37">
      <c r="B37" s="68" t="n">
        <v>10</v>
      </c>
      <c r="C37" s="68" t="n">
        <v>32</v>
      </c>
      <c r="D37" s="68" t="inlineStr">
        <is>
          <t>M10</t>
        </is>
      </c>
      <c r="E37" s="69" t="inlineStr">
        <is>
          <t>Automatic Adjustment (Non-Collectible Denials)</t>
        </is>
      </c>
      <c r="F37" s="68" t="inlineStr">
        <is>
          <t>T033</t>
        </is>
      </c>
      <c r="G37" s="69" t="inlineStr">
        <is>
          <t>Automatic Adjustment (Non-Collectible Denials)
Non-collectible flag + Automatic Adjustment (single &amp; batch) with System/Automation audit entry</t>
        </is>
      </c>
      <c r="H37" s="70" t="inlineStr">
        <is>
          <t>P1</t>
        </is>
      </c>
      <c r="I37" s="64" t="n">
        <v>0.5</v>
      </c>
      <c r="J37" s="65" t="inlineStr">
        <is>
          <t>T014, T035, T037</t>
        </is>
      </c>
      <c r="K37" s="67">
        <f>IF(B37=B36,K36,WORKDAY(L36,1))</f>
        <v/>
      </c>
      <c r="L37" s="67">
        <f>WORKDAY(K37,MAX(1,ROUNDUP(SUMIF($B$6:$B$87,B37,$I$6:$I$87),0))-1)</f>
        <v/>
      </c>
      <c r="M37" s="65" t="inlineStr">
        <is>
          <t>Row 36 · M07 · P1</t>
        </is>
      </c>
      <c r="N37" s="65" t="inlineStr">
        <is>
          <t>Moved after the queue engine (was listed before it). It acts on the Non-Collectible sub-queues from T035 and writes its System / Automation audit entry to T037.</t>
        </is>
      </c>
    </row>
    <row r="38">
      <c r="B38" s="68" t="n">
        <v>11</v>
      </c>
      <c r="C38" s="68" t="n">
        <v>33</v>
      </c>
      <c r="D38" s="68" t="inlineStr">
        <is>
          <t>M06</t>
        </is>
      </c>
      <c r="E38" s="69" t="inlineStr">
        <is>
          <t>Workflow Event &amp; Snapshot Infrastructure</t>
        </is>
      </c>
      <c r="F38" s="68" t="inlineStr">
        <is>
          <t>T038</t>
        </is>
      </c>
      <c r="G38" s="69" t="inlineStr">
        <is>
          <t>Nightly inventory snapshot job (Hangfire) for trend and movement reporting (GAP-6)</t>
        </is>
      </c>
      <c r="H38" s="70" t="inlineStr">
        <is>
          <t>P1</t>
        </is>
      </c>
      <c r="I38" s="64" t="n">
        <v>1</v>
      </c>
      <c r="J38" s="65" t="inlineStr">
        <is>
          <t>T035</t>
        </is>
      </c>
      <c r="K38" s="67">
        <f>IF(B38=B37,K37,WORKDAY(L37,1))</f>
        <v/>
      </c>
      <c r="L38" s="67">
        <f>WORKDAY(K38,MAX(1,ROUNDUP(SUMIF($B$6:$B$87,B38,$I$6:$I$87),0))-1)</f>
        <v/>
      </c>
      <c r="M38" s="65" t="inlineStr">
        <is>
          <t>Row 41 · M07 · P1</t>
        </is>
      </c>
      <c r="N38" s="65" t="inlineStr">
        <is>
          <t>Kept in P1, after the queue engine: the nightly snapshot stores each claim's AR queue. Start it early so trend history exists by the P4 reports.</t>
        </is>
      </c>
    </row>
    <row r="39">
      <c r="B39" s="68" t="n">
        <v>12</v>
      </c>
      <c r="C39" s="68" t="n">
        <v>34</v>
      </c>
      <c r="D39" s="68" t="inlineStr">
        <is>
          <t>M11</t>
        </is>
      </c>
      <c r="E39" s="69" t="inlineStr">
        <is>
          <t>Shared Table Utilities</t>
        </is>
      </c>
      <c r="F39" s="68" t="inlineStr">
        <is>
          <t>T041</t>
        </is>
      </c>
      <c r="G39" s="69" t="inlineStr">
        <is>
          <t>Shared grid: server-side sort/paging, filtered CSV export, column visibility, row-eligible bulk select, confirm dialog, summary toast</t>
        </is>
      </c>
      <c r="H39" s="70" t="inlineStr">
        <is>
          <t>P1</t>
        </is>
      </c>
      <c r="I39" s="64" t="n">
        <v>0.25</v>
      </c>
      <c r="J39" s="65" t="inlineStr">
        <is>
          <t>T050</t>
        </is>
      </c>
      <c r="K39" s="67">
        <f>IF(B39=B38,K38,WORKDAY(L38,1))</f>
        <v/>
      </c>
      <c r="L39" s="67">
        <f>WORKDAY(K39,MAX(1,ROUNDUP(SUMIF($B$6:$B$87,B39,$I$6:$I$87),0))-1)</f>
        <v/>
      </c>
      <c r="M39" s="65" t="inlineStr">
        <is>
          <t>Row 44 · M09 · P1</t>
        </is>
      </c>
      <c r="N39" s="65" t="inlineStr">
        <is>
          <t>Moved before the first grid (was after the Work Queue and Claim Detail): Work Queue, My Work, Follow-Up, QA and Assignment all use it.</t>
        </is>
      </c>
    </row>
    <row r="40">
      <c r="B40" s="68" t="n">
        <v>12</v>
      </c>
      <c r="C40" s="68" t="n">
        <v>35</v>
      </c>
      <c r="D40" s="68" t="inlineStr">
        <is>
          <t>M11</t>
        </is>
      </c>
      <c r="E40" s="69" t="inlineStr">
        <is>
          <t>Shared Table Utilities</t>
        </is>
      </c>
      <c r="F40" s="68" t="inlineStr">
        <is>
          <t>T042</t>
        </is>
      </c>
      <c r="G40" s="69" t="inlineStr">
        <is>
          <t>Saved Views per user per queue (server-persisted)</t>
        </is>
      </c>
      <c r="H40" s="70" t="inlineStr">
        <is>
          <t>P1</t>
        </is>
      </c>
      <c r="I40" s="64" t="n">
        <v>0.25</v>
      </c>
      <c r="J40" s="65" t="inlineStr">
        <is>
          <t>T041, T049</t>
        </is>
      </c>
      <c r="K40" s="67">
        <f>IF(B40=B39,K39,WORKDAY(L39,1))</f>
        <v/>
      </c>
      <c r="L40" s="67">
        <f>WORKDAY(K40,MAX(1,ROUNDUP(SUMIF($B$6:$B$87,B40,$I$6:$I$87),0))-1)</f>
        <v/>
      </c>
      <c r="M40" s="65" t="inlineStr">
        <is>
          <t>Row 45 · M09 · P1</t>
        </is>
      </c>
      <c r="N40" s="65" t="inlineStr">
        <is>
          <t>Moved with T041. Saved Views are per user, so they need the user / role model.</t>
        </is>
      </c>
    </row>
    <row r="41">
      <c r="B41" s="68" t="n">
        <v>13</v>
      </c>
      <c r="C41" s="68" t="n">
        <v>36</v>
      </c>
      <c r="D41" s="68" t="inlineStr">
        <is>
          <t>M12</t>
        </is>
      </c>
      <c r="E41" s="69" t="inlineStr">
        <is>
          <t>Denial &amp; AR Work Queue</t>
        </is>
      </c>
      <c r="F41" s="68" t="inlineStr">
        <is>
          <t>T021</t>
        </is>
      </c>
      <c r="G41" s="69" t="inlineStr">
        <is>
          <t>Claim Listing table
Filtered claim listing from the claim level data table when the Route to Work Queue denial code selected in the insights</t>
        </is>
      </c>
      <c r="H41" s="70" t="inlineStr">
        <is>
          <t>P1</t>
        </is>
      </c>
      <c r="I41" s="64" t="n">
        <v>0.25</v>
      </c>
      <c r="J41" s="65" t="inlineStr">
        <is>
          <t>T003, T041</t>
        </is>
      </c>
      <c r="K41" s="67">
        <f>IF(B41=B40,K40,WORKDAY(L40,1))</f>
        <v/>
      </c>
      <c r="L41" s="67">
        <f>WORKDAY(K41,MAX(1,ROUNDUP(SUMIF($B$6:$B$87,B41,$I$6:$I$87),0))-1)</f>
        <v/>
      </c>
      <c r="M41" s="65" t="inlineStr">
        <is>
          <t>Row 24 · M04 · P1</t>
        </is>
      </c>
      <c r="N41" s="65" t="inlineStr">
        <is>
          <t>Now after the data, rules and grid it is built on.</t>
        </is>
      </c>
    </row>
    <row r="42">
      <c r="B42" s="68" t="n">
        <v>13</v>
      </c>
      <c r="C42" s="68" t="n">
        <v>37</v>
      </c>
      <c r="D42" s="68" t="inlineStr">
        <is>
          <t>M12</t>
        </is>
      </c>
      <c r="E42" s="69" t="inlineStr">
        <is>
          <t>Denial &amp; AR Work Queue</t>
        </is>
      </c>
      <c r="F42" s="68" t="inlineStr">
        <is>
          <t>T022</t>
        </is>
      </c>
      <c r="G42" s="69" t="inlineStr">
        <is>
          <t>Extend All Claims grid with
Aging | Denial Category | TFL | Priority | AR Queue | Expected Payment</t>
        </is>
      </c>
      <c r="H42" s="70" t="inlineStr">
        <is>
          <t>P1</t>
        </is>
      </c>
      <c r="I42" s="64" t="n">
        <v>0.25</v>
      </c>
      <c r="J42" s="65" t="inlineStr">
        <is>
          <t>T021, T023, T035, T040</t>
        </is>
      </c>
      <c r="K42" s="67">
        <f>IF(B42=B41,K41,WORKDAY(L41,1))</f>
        <v/>
      </c>
      <c r="L42" s="67">
        <f>WORKDAY(K42,MAX(1,ROUNDUP(SUMIF($B$6:$B$87,B42,$I$6:$I$87),0))-1)</f>
        <v/>
      </c>
      <c r="M42" s="65" t="inlineStr">
        <is>
          <t>Row 25 · M04 · P1</t>
        </is>
      </c>
      <c r="N42" s="65" t="inlineStr">
        <is>
          <t>Now after the queue engine, TFL and financial model that supply its columns.</t>
        </is>
      </c>
    </row>
    <row r="43">
      <c r="B43" s="68" t="n">
        <v>13</v>
      </c>
      <c r="C43" s="68" t="n">
        <v>38</v>
      </c>
      <c r="D43" s="68" t="inlineStr">
        <is>
          <t>M12</t>
        </is>
      </c>
      <c r="E43" s="69" t="inlineStr">
        <is>
          <t>Denial &amp; AR Work Queue</t>
        </is>
      </c>
      <c r="F43" s="68" t="inlineStr">
        <is>
          <t>T026</t>
        </is>
      </c>
      <c r="G43" s="69" t="inlineStr">
        <is>
          <t>Filter options
Cascade the filters to the claim listing table</t>
        </is>
      </c>
      <c r="H43" s="70" t="inlineStr">
        <is>
          <t>P1</t>
        </is>
      </c>
      <c r="I43" s="64" t="n">
        <v>0.5</v>
      </c>
      <c r="J43" s="65" t="inlineStr">
        <is>
          <t>T021</t>
        </is>
      </c>
      <c r="K43" s="67">
        <f>IF(B43=B42,K42,WORKDAY(L42,1))</f>
        <v/>
      </c>
      <c r="L43" s="67">
        <f>WORKDAY(K43,MAX(1,ROUNDUP(SUMIF($B$6:$B$87,B43,$I$6:$I$87),0))-1)</f>
        <v/>
      </c>
      <c r="M43" s="65" t="inlineStr">
        <is>
          <t>Row 29 · M06 · P1</t>
        </is>
      </c>
      <c r="N43" s="65" t="inlineStr">
        <is>
          <t>Moved from Claim Detail Workspace: filters cascade to the claim listing, so they belong to the Work Queue.</t>
        </is>
      </c>
    </row>
    <row r="44">
      <c r="B44" s="68" t="n">
        <v>13</v>
      </c>
      <c r="C44" s="68" t="n">
        <v>39</v>
      </c>
      <c r="D44" s="68" t="inlineStr">
        <is>
          <t>M12</t>
        </is>
      </c>
      <c r="E44" s="69" t="inlineStr">
        <is>
          <t>Denial &amp; AR Work Queue</t>
        </is>
      </c>
      <c r="F44" s="68" t="inlineStr">
        <is>
          <t>T027</t>
        </is>
      </c>
      <c r="G44" s="69" t="inlineStr">
        <is>
          <t>Filter claim view based on the filter options</t>
        </is>
      </c>
      <c r="H44" s="70" t="inlineStr">
        <is>
          <t>P1</t>
        </is>
      </c>
      <c r="I44" s="64" t="n">
        <v>0.25</v>
      </c>
      <c r="J44" s="65" t="inlineStr">
        <is>
          <t>T026</t>
        </is>
      </c>
      <c r="K44" s="67">
        <f>IF(B44=B43,K43,WORKDAY(L43,1))</f>
        <v/>
      </c>
      <c r="L44" s="67">
        <f>WORKDAY(K44,MAX(1,ROUNDUP(SUMIF($B$6:$B$87,B44,$I$6:$I$87),0))-1)</f>
        <v/>
      </c>
      <c r="M44" s="65" t="inlineStr">
        <is>
          <t>Row 30 · M06 · P1</t>
        </is>
      </c>
      <c r="N44" s="65" t="inlineStr">
        <is>
          <t>Moved from Claim Detail Workspace with T026.</t>
        </is>
      </c>
    </row>
    <row r="45">
      <c r="B45" s="68" t="n">
        <v>13</v>
      </c>
      <c r="C45" s="68" t="n">
        <v>40</v>
      </c>
      <c r="D45" s="68" t="inlineStr">
        <is>
          <t>M12</t>
        </is>
      </c>
      <c r="E45" s="69" t="inlineStr">
        <is>
          <t>Denial &amp; AR Work Queue</t>
        </is>
      </c>
      <c r="F45" s="68" t="inlineStr">
        <is>
          <t>T031</t>
        </is>
      </c>
      <c r="G45" s="69" t="inlineStr">
        <is>
          <t>Claim Assignment : Check box, multiselect, agent picker, claim assignment</t>
        </is>
      </c>
      <c r="H45" s="70" t="inlineStr">
        <is>
          <t>P1</t>
        </is>
      </c>
      <c r="I45" s="64" t="n">
        <v>0.15</v>
      </c>
      <c r="J45" s="65" t="inlineStr">
        <is>
          <t>T021, T049</t>
        </is>
      </c>
      <c r="K45" s="67">
        <f>IF(B45=B44,K44,WORKDAY(L44,1))</f>
        <v/>
      </c>
      <c r="L45" s="67">
        <f>WORKDAY(K45,MAX(1,ROUNDUP(SUMIF($B$6:$B$87,B45,$I$6:$I$87),0))-1)</f>
        <v/>
      </c>
      <c r="M45" s="65" t="inlineStr">
        <is>
          <t>Row 34 · M06 · P1</t>
        </is>
      </c>
      <c r="N45" s="65" t="inlineStr">
        <is>
          <t>Moved from Log Follow-Up Note: assigning claims (checkbox, multiselect, agent picker) is a Work Queue action.</t>
        </is>
      </c>
    </row>
    <row r="46">
      <c r="B46" s="68" t="n">
        <v>13</v>
      </c>
      <c r="C46" s="68" t="n">
        <v>41</v>
      </c>
      <c r="D46" s="68" t="inlineStr">
        <is>
          <t>M12</t>
        </is>
      </c>
      <c r="E46" s="69" t="inlineStr">
        <is>
          <t>Denial &amp; AR Work Queue</t>
        </is>
      </c>
      <c r="F46" s="68" t="inlineStr">
        <is>
          <t>T032</t>
        </is>
      </c>
      <c r="G46" s="69" t="inlineStr">
        <is>
          <t>Claim Export : All claim Export, Filtered Claim Export</t>
        </is>
      </c>
      <c r="H46" s="70" t="inlineStr">
        <is>
          <t>P1</t>
        </is>
      </c>
      <c r="I46" s="64" t="n">
        <v>0.15</v>
      </c>
      <c r="J46" s="65" t="inlineStr">
        <is>
          <t>T021, T051</t>
        </is>
      </c>
      <c r="K46" s="67">
        <f>IF(B46=B45,K45,WORKDAY(L45,1))</f>
        <v/>
      </c>
      <c r="L46" s="67">
        <f>WORKDAY(K46,MAX(1,ROUNDUP(SUMIF($B$6:$B$87,B46,$I$6:$I$87),0))-1)</f>
        <v/>
      </c>
      <c r="M46" s="65" t="inlineStr">
        <is>
          <t>Row 35 · M06 · P1</t>
        </is>
      </c>
      <c r="N46" s="65" t="inlineStr">
        <is>
          <t>Moved from Log Follow-Up Note: export of the (scoped) claim listing.</t>
        </is>
      </c>
    </row>
    <row r="47">
      <c r="B47" s="68" t="n">
        <v>13</v>
      </c>
      <c r="C47" s="68" t="n">
        <v>42</v>
      </c>
      <c r="D47" s="68" t="inlineStr">
        <is>
          <t>M12</t>
        </is>
      </c>
      <c r="E47" s="69" t="inlineStr">
        <is>
          <t>Denial &amp; AR Work Queue</t>
        </is>
      </c>
      <c r="F47" s="68" t="inlineStr">
        <is>
          <t>T010</t>
        </is>
      </c>
      <c r="G47" s="69" t="inlineStr">
        <is>
          <t>Denial Analysis Report (reuse weekly Denial Insights) with drill-through to Work Queue for assignment</t>
        </is>
      </c>
      <c r="H47" s="70" t="inlineStr">
        <is>
          <t>P1</t>
        </is>
      </c>
      <c r="I47" s="64" t="n">
        <v>0.25</v>
      </c>
      <c r="J47" s="65" t="inlineStr">
        <is>
          <t>T009, T021</t>
        </is>
      </c>
      <c r="K47" s="67">
        <f>IF(B47=B46,K46,WORKDAY(L46,1))</f>
        <v/>
      </c>
      <c r="L47" s="67">
        <f>WORKDAY(K47,MAX(1,ROUNDUP(SUMIF($B$6:$B$87,B47,$I$6:$I$87),0))-1)</f>
        <v/>
      </c>
      <c r="M47" s="65" t="inlineStr">
        <is>
          <t>Row 13 · M02 · P1</t>
        </is>
      </c>
      <c r="N47" s="65" t="inlineStr">
        <is>
          <t>Moved after the Work Queue: the drill-through lands on it.</t>
        </is>
      </c>
    </row>
    <row r="48">
      <c r="B48" s="68" t="n">
        <v>13</v>
      </c>
      <c r="C48" s="68" t="n">
        <v>43</v>
      </c>
      <c r="D48" s="68" t="inlineStr">
        <is>
          <t>M12</t>
        </is>
      </c>
      <c r="E48" s="69" t="inlineStr">
        <is>
          <t>Denial &amp; AR Work Queue</t>
        </is>
      </c>
      <c r="F48" s="68" t="inlineStr">
        <is>
          <t>T011</t>
        </is>
      </c>
      <c r="G48" s="69" t="inlineStr">
        <is>
          <t>Redirect the user to Denial &amp; AR Workqueue when "Route to Work Queue" is clicked</t>
        </is>
      </c>
      <c r="H48" s="70" t="inlineStr">
        <is>
          <t>P1</t>
        </is>
      </c>
      <c r="I48" s="64" t="n">
        <v>0.15</v>
      </c>
      <c r="J48" s="65" t="inlineStr">
        <is>
          <t>T010</t>
        </is>
      </c>
      <c r="K48" s="67">
        <f>IF(B48=B47,K47,WORKDAY(L47,1))</f>
        <v/>
      </c>
      <c r="L48" s="67">
        <f>WORKDAY(K48,MAX(1,ROUNDUP(SUMIF($B$6:$B$87,B48,$I$6:$I$87),0))-1)</f>
        <v/>
      </c>
      <c r="M48" s="65" t="inlineStr">
        <is>
          <t>Row 14 · M02 · P1</t>
        </is>
      </c>
      <c r="N48" s="65" t="inlineStr">
        <is>
          <t>Moved after the Work Queue: the redirect lands on it.</t>
        </is>
      </c>
    </row>
    <row r="49">
      <c r="B49" s="68" t="n">
        <v>14</v>
      </c>
      <c r="C49" s="68" t="n">
        <v>44</v>
      </c>
      <c r="D49" s="68" t="inlineStr">
        <is>
          <t>M13</t>
        </is>
      </c>
      <c r="E49" s="69" t="inlineStr">
        <is>
          <t>Claim Detail Workspace</t>
        </is>
      </c>
      <c r="F49" s="68" t="inlineStr">
        <is>
          <t>T025</t>
        </is>
      </c>
      <c r="G49" s="69" t="inlineStr">
        <is>
          <t>Claim Detail View
Overview | CPT\Line Detail | Denial Info | Followup | Acitivity Timeline</t>
        </is>
      </c>
      <c r="H49" s="70" t="inlineStr">
        <is>
          <t>P1</t>
        </is>
      </c>
      <c r="I49" s="64" t="n">
        <v>0.5</v>
      </c>
      <c r="J49" s="65" t="inlineStr">
        <is>
          <t>T021, T037</t>
        </is>
      </c>
      <c r="K49" s="67">
        <f>IF(B49=B48,K48,WORKDAY(L48,1))</f>
        <v/>
      </c>
      <c r="L49" s="67">
        <f>WORKDAY(K49,MAX(1,ROUNDUP(SUMIF($B$6:$B$87,B49,$I$6:$I$87),0))-1)</f>
        <v/>
      </c>
      <c r="M49" s="65" t="inlineStr">
        <is>
          <t>Row 28 · M06 · P1</t>
        </is>
      </c>
      <c r="N49" s="65" t="inlineStr">
        <is>
          <t>Now after the Work Queue it opens from and the activity tables its timeline reads.</t>
        </is>
      </c>
    </row>
    <row r="50">
      <c r="B50" s="68" t="n">
        <v>15</v>
      </c>
      <c r="C50" s="68" t="n">
        <v>45</v>
      </c>
      <c r="D50" s="68" t="inlineStr">
        <is>
          <t>M14</t>
        </is>
      </c>
      <c r="E50" s="69" t="inlineStr">
        <is>
          <t>Log Follow-Up Note (Comments Framework)</t>
        </is>
      </c>
      <c r="F50" s="68" t="inlineStr">
        <is>
          <t>T029</t>
        </is>
      </c>
      <c r="G50" s="69" t="inlineStr">
        <is>
          <t>Log Follow-Up Note modal (conditional fields, +7-day default) replacing current Add Note; auto-submit to QA</t>
        </is>
      </c>
      <c r="H50" s="70" t="inlineStr">
        <is>
          <t>P1</t>
        </is>
      </c>
      <c r="I50" s="64" t="n">
        <v>0.25</v>
      </c>
      <c r="J50" s="65" t="inlineStr">
        <is>
          <t>T025, T015, T018, T036</t>
        </is>
      </c>
      <c r="K50" s="67">
        <f>IF(B50=B49,K49,WORKDAY(L49,1))</f>
        <v/>
      </c>
      <c r="L50" s="67">
        <f>WORKDAY(K50,MAX(1,ROUNDUP(SUMIF($B$6:$B$87,B50,$I$6:$I$87),0))-1)</f>
        <v/>
      </c>
      <c r="M50" s="65" t="inlineStr">
        <is>
          <t>Row 32 · M06 · P1</t>
        </is>
      </c>
      <c r="N50" s="65" t="inlineStr">
        <is>
          <t>Now after the masters, status rules and Claim Detail it lives in. Note: it auto-submits to QA; the QA queue is P2 (T059 / T060).</t>
        </is>
      </c>
    </row>
    <row r="51">
      <c r="B51" s="64" t="n">
        <v>15</v>
      </c>
      <c r="C51" s="64" t="n">
        <v>46</v>
      </c>
      <c r="D51" s="64" t="inlineStr">
        <is>
          <t>M14</t>
        </is>
      </c>
      <c r="E51" s="65" t="inlineStr">
        <is>
          <t>Log Follow-Up Note (Comments Framework)</t>
        </is>
      </c>
      <c r="F51" s="64" t="inlineStr">
        <is>
          <t>T030</t>
        </is>
      </c>
      <c r="G51" s="65" t="inlineStr">
        <is>
          <t>Excel bulk update of follow-ups on the new field set (reuse upload jobs, conflict check)</t>
        </is>
      </c>
      <c r="H51" s="70" t="inlineStr">
        <is>
          <t>P1</t>
        </is>
      </c>
      <c r="I51" s="64" t="n">
        <v>0.5</v>
      </c>
      <c r="J51" s="65" t="inlineStr">
        <is>
          <t>T029</t>
        </is>
      </c>
      <c r="K51" s="67">
        <f>IF(B51=B50,K50,WORKDAY(L50,1))</f>
        <v/>
      </c>
      <c r="L51" s="67">
        <f>WORKDAY(K51,MAX(1,ROUNDUP(SUMIF($B$6:$B$87,B51,$I$6:$I$87),0))-1)</f>
        <v/>
      </c>
      <c r="M51" s="65" t="inlineStr">
        <is>
          <t>Row 33 · M06 · P1</t>
        </is>
      </c>
      <c r="N51" s="65" t="inlineStr"/>
    </row>
    <row r="52">
      <c r="B52" s="68" t="n">
        <v>16</v>
      </c>
      <c r="C52" s="68" t="n">
        <v>47</v>
      </c>
      <c r="D52" s="68" t="inlineStr">
        <is>
          <t>M15</t>
        </is>
      </c>
      <c r="E52" s="69" t="inlineStr">
        <is>
          <t>My Work (Agent caseload)</t>
        </is>
      </c>
      <c r="F52" s="68" t="inlineStr">
        <is>
          <t>T043</t>
        </is>
      </c>
      <c r="G52" s="69" t="inlineStr">
        <is>
          <t>My Work: new status/AR queue, Fix/Resolution &amp; next follow-up columns, Follow-Up Schedule panel</t>
        </is>
      </c>
      <c r="H52" s="70" t="inlineStr">
        <is>
          <t>P1</t>
        </is>
      </c>
      <c r="I52" s="64" t="n">
        <v>0.25</v>
      </c>
      <c r="J52" s="65" t="inlineStr">
        <is>
          <t>T031, T049, T029</t>
        </is>
      </c>
      <c r="K52" s="67">
        <f>IF(B52=B51,K51,WORKDAY(L51,1))</f>
        <v/>
      </c>
      <c r="L52" s="67">
        <f>WORKDAY(K52,MAX(1,ROUNDUP(SUMIF($B$6:$B$87,B52,$I$6:$I$87),0))-1)</f>
        <v/>
      </c>
      <c r="M52" s="65" t="inlineStr">
        <is>
          <t>Row 46 · M10 · P1</t>
        </is>
      </c>
      <c r="N52" s="65" t="inlineStr">
        <is>
          <t>Now after assignment (T031) and the agent role (T049) it depends on.</t>
        </is>
      </c>
    </row>
    <row r="53">
      <c r="B53" s="64" t="n">
        <v>17</v>
      </c>
      <c r="C53" s="64" t="n">
        <v>48</v>
      </c>
      <c r="D53" s="64" t="inlineStr">
        <is>
          <t>M16</t>
        </is>
      </c>
      <c r="E53" s="65" t="inlineStr">
        <is>
          <t>Follow-Up Management</t>
        </is>
      </c>
      <c r="F53" s="64" t="inlineStr">
        <is>
          <t>T044</t>
        </is>
      </c>
      <c r="G53" s="65" t="inlineStr">
        <is>
          <t>Follow-Up Management queue (actionable + re-follow-up due rules) and overdue badge</t>
        </is>
      </c>
      <c r="H53" s="70" t="inlineStr">
        <is>
          <t>P1</t>
        </is>
      </c>
      <c r="I53" s="64" t="n">
        <v>0.5</v>
      </c>
      <c r="J53" s="65" t="inlineStr">
        <is>
          <t>T029, T034</t>
        </is>
      </c>
      <c r="K53" s="67">
        <f>IF(B53=B52,K52,WORKDAY(L52,1))</f>
        <v/>
      </c>
      <c r="L53" s="67">
        <f>WORKDAY(K53,MAX(1,ROUNDUP(SUMIF($B$6:$B$87,B53,$I$6:$I$87),0))-1)</f>
        <v/>
      </c>
      <c r="M53" s="65" t="inlineStr">
        <is>
          <t>Row 47 · M11 · P1</t>
        </is>
      </c>
      <c r="N53" s="65" t="inlineStr"/>
    </row>
    <row r="54">
      <c r="B54" s="64" t="n">
        <v>17</v>
      </c>
      <c r="C54" s="64" t="n">
        <v>49</v>
      </c>
      <c r="D54" s="64" t="inlineStr">
        <is>
          <t>M16</t>
        </is>
      </c>
      <c r="E54" s="65" t="inlineStr">
        <is>
          <t>Follow-Up Management</t>
        </is>
      </c>
      <c r="F54" s="64" t="inlineStr">
        <is>
          <t>T045</t>
        </is>
      </c>
      <c r="G54" s="65" t="inlineStr">
        <is>
          <t>Followup card views : All Active, Overdue, Due Today,Upcoming, No Followup- schedule</t>
        </is>
      </c>
      <c r="H54" s="70" t="inlineStr">
        <is>
          <t>P1</t>
        </is>
      </c>
      <c r="I54" s="64" t="n">
        <v>0.15</v>
      </c>
      <c r="J54" s="65" t="inlineStr">
        <is>
          <t>T044</t>
        </is>
      </c>
      <c r="K54" s="67">
        <f>IF(B54=B53,K53,WORKDAY(L53,1))</f>
        <v/>
      </c>
      <c r="L54" s="67">
        <f>WORKDAY(K54,MAX(1,ROUNDUP(SUMIF($B$6:$B$87,B54,$I$6:$I$87),0))-1)</f>
        <v/>
      </c>
      <c r="M54" s="65" t="inlineStr">
        <is>
          <t>Row 48 · M11 · P1</t>
        </is>
      </c>
      <c r="N54" s="65" t="inlineStr"/>
    </row>
    <row r="55">
      <c r="B55" s="64" t="n">
        <v>17</v>
      </c>
      <c r="C55" s="64" t="n">
        <v>50</v>
      </c>
      <c r="D55" s="64" t="inlineStr">
        <is>
          <t>M16</t>
        </is>
      </c>
      <c r="E55" s="65" t="inlineStr">
        <is>
          <t>Follow-Up Management</t>
        </is>
      </c>
      <c r="F55" s="64" t="inlineStr">
        <is>
          <t>T046</t>
        </is>
      </c>
      <c r="G55" s="65" t="inlineStr">
        <is>
          <t>Search and All filters (including TFL, Save View)</t>
        </is>
      </c>
      <c r="H55" s="70" t="inlineStr">
        <is>
          <t>P1</t>
        </is>
      </c>
      <c r="I55" s="64" t="n">
        <v>0.15</v>
      </c>
      <c r="J55" s="65" t="inlineStr">
        <is>
          <t>T044, T042</t>
        </is>
      </c>
      <c r="K55" s="67">
        <f>IF(B55=B54,K54,WORKDAY(L54,1))</f>
        <v/>
      </c>
      <c r="L55" s="67">
        <f>WORKDAY(K55,MAX(1,ROUNDUP(SUMIF($B$6:$B$87,B55,$I$6:$I$87),0))-1)</f>
        <v/>
      </c>
      <c r="M55" s="65" t="inlineStr">
        <is>
          <t>Row 49 · M11 · P1</t>
        </is>
      </c>
      <c r="N55" s="65" t="inlineStr"/>
    </row>
    <row r="56">
      <c r="B56" s="64" t="n">
        <v>17</v>
      </c>
      <c r="C56" s="64" t="n">
        <v>51</v>
      </c>
      <c r="D56" s="64" t="inlineStr">
        <is>
          <t>M16</t>
        </is>
      </c>
      <c r="E56" s="65" t="inlineStr">
        <is>
          <t>Follow-Up Management</t>
        </is>
      </c>
      <c r="F56" s="64" t="inlineStr">
        <is>
          <t>T047</t>
        </is>
      </c>
      <c r="G56" s="65" t="inlineStr">
        <is>
          <t>Cascading filters to claim listing</t>
        </is>
      </c>
      <c r="H56" s="70" t="inlineStr">
        <is>
          <t>P1</t>
        </is>
      </c>
      <c r="I56" s="64" t="n">
        <v>0.25</v>
      </c>
      <c r="J56" s="65" t="inlineStr">
        <is>
          <t>T044</t>
        </is>
      </c>
      <c r="K56" s="67">
        <f>IF(B56=B55,K55,WORKDAY(L55,1))</f>
        <v/>
      </c>
      <c r="L56" s="67">
        <f>WORKDAY(K56,MAX(1,ROUNDUP(SUMIF($B$6:$B$87,B56,$I$6:$I$87),0))-1)</f>
        <v/>
      </c>
      <c r="M56" s="65" t="inlineStr">
        <is>
          <t>Row 50 · M11 · P1</t>
        </is>
      </c>
      <c r="N56" s="65" t="inlineStr"/>
    </row>
    <row r="57">
      <c r="B57" s="64" t="n">
        <v>17</v>
      </c>
      <c r="C57" s="64" t="n">
        <v>52</v>
      </c>
      <c r="D57" s="64" t="inlineStr">
        <is>
          <t>M16</t>
        </is>
      </c>
      <c r="E57" s="65" t="inlineStr">
        <is>
          <t>Follow-Up Management</t>
        </is>
      </c>
      <c r="F57" s="64" t="inlineStr">
        <is>
          <t>T048</t>
        </is>
      </c>
      <c r="G57" s="65" t="inlineStr">
        <is>
          <t>Directing the user to Denial &amp; AR Queue for Followup log</t>
        </is>
      </c>
      <c r="H57" s="70" t="inlineStr">
        <is>
          <t>P1</t>
        </is>
      </c>
      <c r="I57" s="64" t="n">
        <v>0.1</v>
      </c>
      <c r="J57" s="65" t="inlineStr">
        <is>
          <t>T044, T021</t>
        </is>
      </c>
      <c r="K57" s="67">
        <f>IF(B57=B56,K56,WORKDAY(L56,1))</f>
        <v/>
      </c>
      <c r="L57" s="67">
        <f>WORKDAY(K57,MAX(1,ROUNDUP(SUMIF($B$6:$B$87,B57,$I$6:$I$87),0))-1)</f>
        <v/>
      </c>
      <c r="M57" s="65" t="inlineStr">
        <is>
          <t>Row 51 · M11 · P1</t>
        </is>
      </c>
      <c r="N57" s="65" t="inlineStr"/>
    </row>
    <row r="58">
      <c r="B58" s="68" t="n">
        <v>18</v>
      </c>
      <c r="C58" s="68" t="n">
        <v>53</v>
      </c>
      <c r="D58" s="68" t="inlineStr">
        <is>
          <t>M17</t>
        </is>
      </c>
      <c r="E58" s="69" t="inlineStr">
        <is>
          <t>User Management</t>
        </is>
      </c>
      <c r="F58" s="68" t="inlineStr">
        <is>
          <t>T053</t>
        </is>
      </c>
      <c r="G58" s="69" t="inlineStr">
        <is>
          <t>Create users and assign roles</t>
        </is>
      </c>
      <c r="H58" s="72" t="inlineStr">
        <is>
          <t>P2</t>
        </is>
      </c>
      <c r="I58" s="64" t="n">
        <v>0.25</v>
      </c>
      <c r="J58" s="65" t="inlineStr">
        <is>
          <t>T049, T051</t>
        </is>
      </c>
      <c r="K58" s="67">
        <f>IF(B58=B57,K57,WORKDAY(L57,1))</f>
        <v/>
      </c>
      <c r="L58" s="67">
        <f>WORKDAY(K58,MAX(1,ROUNDUP(SUMIF($B$6:$B$87,B58,$I$6:$I$87),0))-1)</f>
        <v/>
      </c>
      <c r="M58" s="65" t="inlineStr">
        <is>
          <t>Row 56 · M13 · P2</t>
        </is>
      </c>
      <c r="N58" s="65" t="inlineStr">
        <is>
          <t>Moved ahead of Assignment Management: the agent picker lists users with an agent role and lab access.</t>
        </is>
      </c>
    </row>
    <row r="59">
      <c r="B59" s="64" t="n">
        <v>18</v>
      </c>
      <c r="C59" s="64" t="n">
        <v>54</v>
      </c>
      <c r="D59" s="64" t="inlineStr">
        <is>
          <t>M17</t>
        </is>
      </c>
      <c r="E59" s="65" t="inlineStr">
        <is>
          <t>User Management</t>
        </is>
      </c>
      <c r="F59" s="64" t="inlineStr">
        <is>
          <t>T054</t>
        </is>
      </c>
      <c r="G59" s="65" t="inlineStr">
        <is>
          <t xml:space="preserve">Cascading access picker, manager/team hierarchy </t>
        </is>
      </c>
      <c r="H59" s="72" t="inlineStr">
        <is>
          <t>P2</t>
        </is>
      </c>
      <c r="I59" s="64" t="n">
        <v>0.25</v>
      </c>
      <c r="J59" s="65" t="inlineStr">
        <is>
          <t>T053</t>
        </is>
      </c>
      <c r="K59" s="67">
        <f>IF(B59=B58,K58,WORKDAY(L58,1))</f>
        <v/>
      </c>
      <c r="L59" s="67">
        <f>WORKDAY(K59,MAX(1,ROUNDUP(SUMIF($B$6:$B$87,B59,$I$6:$I$87),0))-1)</f>
        <v/>
      </c>
      <c r="M59" s="65" t="inlineStr">
        <is>
          <t>Row 57 · M13 · P2</t>
        </is>
      </c>
      <c r="N59" s="65" t="inlineStr"/>
    </row>
    <row r="60">
      <c r="B60" s="64" t="n">
        <v>19</v>
      </c>
      <c r="C60" s="64" t="n">
        <v>55</v>
      </c>
      <c r="D60" s="64" t="inlineStr">
        <is>
          <t>M18</t>
        </is>
      </c>
      <c r="E60" s="65" t="inlineStr">
        <is>
          <t>Assignment Management</t>
        </is>
      </c>
      <c r="F60" s="64" t="inlineStr">
        <is>
          <t>T055</t>
        </is>
      </c>
      <c r="G60" s="65" t="inlineStr">
        <is>
          <t>Unassigned Claims view (open balance, untouched &gt;= 45 days, Days Untouched)</t>
        </is>
      </c>
      <c r="H60" s="72" t="inlineStr">
        <is>
          <t>P2</t>
        </is>
      </c>
      <c r="I60" s="64" t="n">
        <v>1</v>
      </c>
      <c r="J60" s="65" t="inlineStr">
        <is>
          <t>T031, T034, T053</t>
        </is>
      </c>
      <c r="K60" s="67">
        <f>IF(B60=B59,K59,WORKDAY(L59,1))</f>
        <v/>
      </c>
      <c r="L60" s="67">
        <f>WORKDAY(K60,MAX(1,ROUNDUP(SUMIF($B$6:$B$87,B60,$I$6:$I$87),0))-1)</f>
        <v/>
      </c>
      <c r="M60" s="65" t="inlineStr">
        <is>
          <t>Row 58 · M14 · P2</t>
        </is>
      </c>
      <c r="N60" s="65" t="inlineStr"/>
    </row>
    <row r="61">
      <c r="B61" s="64" t="n">
        <v>19</v>
      </c>
      <c r="C61" s="64" t="n">
        <v>56</v>
      </c>
      <c r="D61" s="64" t="inlineStr">
        <is>
          <t>M18</t>
        </is>
      </c>
      <c r="E61" s="65" t="inlineStr">
        <is>
          <t>Assignment Management</t>
        </is>
      </c>
      <c r="F61" s="64" t="inlineStr">
        <is>
          <t>T056</t>
        </is>
      </c>
      <c r="G61" s="65" t="inlineStr">
        <is>
          <t>Create Assignment Batch (criteria + agent + due date) and Assignment Batches log</t>
        </is>
      </c>
      <c r="H61" s="72" t="inlineStr">
        <is>
          <t>P2</t>
        </is>
      </c>
      <c r="I61" s="64" t="n">
        <v>0.5</v>
      </c>
      <c r="J61" s="65" t="inlineStr">
        <is>
          <t>T055</t>
        </is>
      </c>
      <c r="K61" s="67">
        <f>IF(B61=B60,K60,WORKDAY(L60,1))</f>
        <v/>
      </c>
      <c r="L61" s="67">
        <f>WORKDAY(K61,MAX(1,ROUNDUP(SUMIF($B$6:$B$87,B61,$I$6:$I$87),0))-1)</f>
        <v/>
      </c>
      <c r="M61" s="65" t="inlineStr">
        <is>
          <t>Row 59 · M14 · P2</t>
        </is>
      </c>
      <c r="N61" s="65" t="inlineStr"/>
    </row>
    <row r="62">
      <c r="B62" s="64" t="n">
        <v>19</v>
      </c>
      <c r="C62" s="64" t="n">
        <v>57</v>
      </c>
      <c r="D62" s="64" t="inlineStr">
        <is>
          <t>M18</t>
        </is>
      </c>
      <c r="E62" s="65" t="inlineStr">
        <is>
          <t>Assignment Management</t>
        </is>
      </c>
      <c r="F62" s="64" t="inlineStr">
        <is>
          <t>T057</t>
        </is>
      </c>
      <c r="G62" s="65" t="inlineStr">
        <is>
          <t>Assigned Claims - Bulk Reassign table and Agent Workload chart</t>
        </is>
      </c>
      <c r="H62" s="72" t="inlineStr">
        <is>
          <t>P2</t>
        </is>
      </c>
      <c r="I62" s="64" t="n">
        <v>0.5</v>
      </c>
      <c r="J62" s="65" t="inlineStr">
        <is>
          <t>T055</t>
        </is>
      </c>
      <c r="K62" s="67">
        <f>IF(B62=B61,K61,WORKDAY(L61,1))</f>
        <v/>
      </c>
      <c r="L62" s="67">
        <f>WORKDAY(K62,MAX(1,ROUNDUP(SUMIF($B$6:$B$87,B62,$I$6:$I$87),0))-1)</f>
        <v/>
      </c>
      <c r="M62" s="65" t="inlineStr">
        <is>
          <t>Row 60 · M14 · P2</t>
        </is>
      </c>
      <c r="N62" s="65" t="inlineStr"/>
    </row>
    <row r="63">
      <c r="B63" s="68" t="n">
        <v>19</v>
      </c>
      <c r="C63" s="68" t="n">
        <v>58</v>
      </c>
      <c r="D63" s="68" t="inlineStr">
        <is>
          <t>M18</t>
        </is>
      </c>
      <c r="E63" s="69" t="inlineStr">
        <is>
          <t>Assignment Management</t>
        </is>
      </c>
      <c r="F63" s="68" t="inlineStr">
        <is>
          <t>T058</t>
        </is>
      </c>
      <c r="G63" s="69" t="inlineStr">
        <is>
          <t>Directing the user to Denial &amp; AR Queue for Followup log</t>
        </is>
      </c>
      <c r="H63" s="72" t="inlineStr">
        <is>
          <t>P2</t>
        </is>
      </c>
      <c r="I63" s="64" t="n">
        <v>0.15</v>
      </c>
      <c r="J63" s="65" t="inlineStr">
        <is>
          <t>T055</t>
        </is>
      </c>
      <c r="K63" s="67">
        <f>IF(B63=B62,K62,WORKDAY(L62,1))</f>
        <v/>
      </c>
      <c r="L63" s="67">
        <f>WORKDAY(K63,MAX(1,ROUNDUP(SUMIF($B$6:$B$87,B63,$I$6:$I$87),0))-1)</f>
        <v/>
      </c>
      <c r="M63" s="65" t="inlineStr">
        <is>
          <t>Row 61 · M14 · P2</t>
        </is>
      </c>
      <c r="N63" s="71" t="inlineStr">
        <is>
          <t>CHECK: same text as T048 ('Directing the user to Denial &amp; AR Queue for Followup log') — likely a copy; confirm the intended task.</t>
        </is>
      </c>
    </row>
    <row r="64">
      <c r="B64" s="64" t="n">
        <v>20</v>
      </c>
      <c r="C64" s="64" t="n">
        <v>59</v>
      </c>
      <c r="D64" s="64" t="inlineStr">
        <is>
          <t>M19</t>
        </is>
      </c>
      <c r="E64" s="65" t="inlineStr">
        <is>
          <t>QA Workflow</t>
        </is>
      </c>
      <c r="F64" s="64" t="inlineStr">
        <is>
          <t>T059</t>
        </is>
      </c>
      <c r="G64" s="65" t="inlineStr">
        <is>
          <t>QA record &amp; decision API: self-approval block, approve &gt; Completed, reject &gt; QA Rejected</t>
        </is>
      </c>
      <c r="H64" s="72" t="inlineStr">
        <is>
          <t>P2</t>
        </is>
      </c>
      <c r="I64" s="64" t="n">
        <v>1.5</v>
      </c>
      <c r="J64" s="65" t="inlineStr">
        <is>
          <t>T029, T036</t>
        </is>
      </c>
      <c r="K64" s="67">
        <f>IF(B64=B63,K63,WORKDAY(L63,1))</f>
        <v/>
      </c>
      <c r="L64" s="67">
        <f>WORKDAY(K64,MAX(1,ROUNDUP(SUMIF($B$6:$B$87,B64,$I$6:$I$87),0))-1)</f>
        <v/>
      </c>
      <c r="M64" s="65" t="inlineStr">
        <is>
          <t>Row 62 · M15 · P2</t>
        </is>
      </c>
      <c r="N64" s="65" t="inlineStr">
        <is>
          <t>No change. Start P2 with QA straight after P1 testing: follow-up notes auto-submit to QA from T029, so claims pile up in Submitted for QA until this lands.</t>
        </is>
      </c>
    </row>
    <row r="65">
      <c r="B65" s="64" t="n">
        <v>20</v>
      </c>
      <c r="C65" s="64" t="n">
        <v>60</v>
      </c>
      <c r="D65" s="64" t="inlineStr">
        <is>
          <t>M19</t>
        </is>
      </c>
      <c r="E65" s="65" t="inlineStr">
        <is>
          <t>QA Workflow</t>
        </is>
      </c>
      <c r="F65" s="64" t="inlineStr">
        <is>
          <t>T060</t>
        </is>
      </c>
      <c r="G65" s="65" t="inlineStr">
        <is>
          <t>QA Verification Queue UI: filters, bulk Approve Selected with count/AR confirmation</t>
        </is>
      </c>
      <c r="H65" s="72" t="inlineStr">
        <is>
          <t>P2</t>
        </is>
      </c>
      <c r="I65" s="64" t="n">
        <v>1.5</v>
      </c>
      <c r="J65" s="65" t="inlineStr">
        <is>
          <t>T059, T041</t>
        </is>
      </c>
      <c r="K65" s="67">
        <f>IF(B65=B64,K64,WORKDAY(L64,1))</f>
        <v/>
      </c>
      <c r="L65" s="67">
        <f>WORKDAY(K65,MAX(1,ROUNDUP(SUMIF($B$6:$B$87,B65,$I$6:$I$87),0))-1)</f>
        <v/>
      </c>
      <c r="M65" s="65" t="inlineStr">
        <is>
          <t>Row 63 · M15 · P2</t>
        </is>
      </c>
      <c r="N65" s="65" t="inlineStr"/>
    </row>
    <row r="66">
      <c r="B66" s="64" t="n">
        <v>21</v>
      </c>
      <c r="C66" s="64" t="n">
        <v>61</v>
      </c>
      <c r="D66" s="64" t="inlineStr">
        <is>
          <t>M20</t>
        </is>
      </c>
      <c r="E66" s="65" t="inlineStr">
        <is>
          <t>CIP - Escalations</t>
        </is>
      </c>
      <c r="F66" s="64" t="inlineStr">
        <is>
          <t>T061</t>
        </is>
      </c>
      <c r="G66" s="65" t="inlineStr">
        <is>
          <t>CIP case model and 5-state lifecycle actions (approve, reject to agent, client response, insufficient/round+1, return to agent)</t>
        </is>
      </c>
      <c r="H66" s="72" t="inlineStr">
        <is>
          <t>P2</t>
        </is>
      </c>
      <c r="I66" s="64" t="n">
        <v>0.5</v>
      </c>
      <c r="J66" s="65" t="inlineStr">
        <is>
          <t>T029, T059 (D-10)</t>
        </is>
      </c>
      <c r="K66" s="67">
        <f>IF(B66=B65,K65,WORKDAY(L65,1))</f>
        <v/>
      </c>
      <c r="L66" s="67">
        <f>WORKDAY(K66,MAX(1,ROUNDUP(SUMIF($B$6:$B$87,B66,$I$6:$I$87),0))-1)</f>
        <v/>
      </c>
      <c r="M66" s="65" t="inlineStr">
        <is>
          <t>Row 64 · M16 · P2</t>
        </is>
      </c>
      <c r="N66" s="65" t="inlineStr">
        <is>
          <t>No change. A CIP case reaches Pending Approval only after QA approves the note (T059).</t>
        </is>
      </c>
    </row>
    <row r="67">
      <c r="B67" s="64" t="n">
        <v>21</v>
      </c>
      <c r="C67" s="64" t="n">
        <v>62</v>
      </c>
      <c r="D67" s="64" t="inlineStr">
        <is>
          <t>M20</t>
        </is>
      </c>
      <c r="E67" s="65" t="inlineStr">
        <is>
          <t>CIP - Escalations</t>
        </is>
      </c>
      <c r="F67" s="64" t="inlineStr">
        <is>
          <t>T062</t>
        </is>
      </c>
      <c r="G67" s="65" t="inlineStr">
        <is>
          <t>CIP Escalations queue: stage counts, bulk approve / bulk reject-send back (mixed stages)</t>
        </is>
      </c>
      <c r="H67" s="72" t="inlineStr">
        <is>
          <t>P2</t>
        </is>
      </c>
      <c r="I67" s="64" t="n">
        <v>0.5</v>
      </c>
      <c r="J67" s="65" t="inlineStr">
        <is>
          <t>T061</t>
        </is>
      </c>
      <c r="K67" s="67">
        <f>IF(B67=B66,K66,WORKDAY(L66,1))</f>
        <v/>
      </c>
      <c r="L67" s="67">
        <f>WORKDAY(K67,MAX(1,ROUNDUP(SUMIF($B$6:$B$87,B67,$I$6:$I$87),0))-1)</f>
        <v/>
      </c>
      <c r="M67" s="65" t="inlineStr">
        <is>
          <t>Row 65 · M16 · P2</t>
        </is>
      </c>
      <c r="N67" s="65" t="inlineStr"/>
    </row>
    <row r="68">
      <c r="B68" s="64" t="n">
        <v>21</v>
      </c>
      <c r="C68" s="64" t="n">
        <v>63</v>
      </c>
      <c r="D68" s="64" t="inlineStr">
        <is>
          <t>M20</t>
        </is>
      </c>
      <c r="E68" s="65" t="inlineStr">
        <is>
          <t>CIP - Escalations</t>
        </is>
      </c>
      <c r="F68" s="64" t="inlineStr">
        <is>
          <t>T063</t>
        </is>
      </c>
      <c r="G68" s="65" t="inlineStr">
        <is>
          <t>Convert External Escalation / External Response data and Account Manager notes into CIP cases</t>
        </is>
      </c>
      <c r="H68" s="72" t="inlineStr">
        <is>
          <t>P2</t>
        </is>
      </c>
      <c r="I68" s="64" t="n">
        <v>0.5</v>
      </c>
      <c r="J68" s="65" t="inlineStr">
        <is>
          <t>T061</t>
        </is>
      </c>
      <c r="K68" s="67">
        <f>IF(B68=B67,K67,WORKDAY(L67,1))</f>
        <v/>
      </c>
      <c r="L68" s="67">
        <f>WORKDAY(K68,MAX(1,ROUNDUP(SUMIF($B$6:$B$87,B68,$I$6:$I$87),0))-1)</f>
        <v/>
      </c>
      <c r="M68" s="65" t="inlineStr">
        <is>
          <t>Row 66 · M16 · P2</t>
        </is>
      </c>
      <c r="N68" s="65" t="inlineStr"/>
    </row>
    <row r="69">
      <c r="B69" s="64" t="n">
        <v>22</v>
      </c>
      <c r="C69" s="64" t="n">
        <v>64</v>
      </c>
      <c r="D69" s="64" t="inlineStr">
        <is>
          <t>M21</t>
        </is>
      </c>
      <c r="E69" s="65" t="inlineStr">
        <is>
          <t>Client Portal - Escalation Requests (Viewer)</t>
        </is>
      </c>
      <c r="F69" s="64" t="inlineStr">
        <is>
          <t>T064</t>
        </is>
      </c>
      <c r="G69" s="65" t="inlineStr">
        <is>
          <t>Client Escalation Requests page: awaiting / submitted / resolved; respond with text + up to 3 attachments</t>
        </is>
      </c>
      <c r="H69" s="68" t="inlineStr">
        <is>
          <t>P3</t>
        </is>
      </c>
      <c r="I69" s="64" t="n">
        <v>0.5</v>
      </c>
      <c r="J69" s="65" t="inlineStr">
        <is>
          <t>T061, T051</t>
        </is>
      </c>
      <c r="K69" s="67">
        <f>IF(B69=B68,K68,WORKDAY(L68,1))</f>
        <v/>
      </c>
      <c r="L69" s="67">
        <f>WORKDAY(K69,MAX(1,ROUNDUP(SUMIF($B$6:$B$87,B69,$I$6:$I$87),0))-1)</f>
        <v/>
      </c>
      <c r="M69" s="65" t="inlineStr">
        <is>
          <t>Row 67 · M17 · P3</t>
        </is>
      </c>
      <c r="N69" s="65" t="inlineStr">
        <is>
          <t>No change.</t>
        </is>
      </c>
    </row>
    <row r="70">
      <c r="B70" s="64" t="n">
        <v>22</v>
      </c>
      <c r="C70" s="64" t="n">
        <v>65</v>
      </c>
      <c r="D70" s="64" t="inlineStr">
        <is>
          <t>M21</t>
        </is>
      </c>
      <c r="E70" s="65" t="inlineStr">
        <is>
          <t>Client Portal - Escalation Requests (Viewer)</t>
        </is>
      </c>
      <c r="F70" s="64" t="inlineStr">
        <is>
          <t>T065</t>
        </is>
      </c>
      <c r="G70" s="65" t="inlineStr">
        <is>
          <t>Bulk CSV response template download/upload</t>
        </is>
      </c>
      <c r="H70" s="68" t="inlineStr">
        <is>
          <t>P3</t>
        </is>
      </c>
      <c r="I70" s="64" t="n">
        <v>0.5</v>
      </c>
      <c r="J70" s="65" t="inlineStr">
        <is>
          <t>T064</t>
        </is>
      </c>
      <c r="K70" s="67">
        <f>IF(B70=B69,K69,WORKDAY(L69,1))</f>
        <v/>
      </c>
      <c r="L70" s="67">
        <f>WORKDAY(K70,MAX(1,ROUNDUP(SUMIF($B$6:$B$87,B70,$I$6:$I$87),0))-1)</f>
        <v/>
      </c>
      <c r="M70" s="65" t="inlineStr">
        <is>
          <t>Row 68 · M17 · P3</t>
        </is>
      </c>
      <c r="N70" s="65" t="inlineStr"/>
    </row>
    <row r="71">
      <c r="B71" s="64" t="n">
        <v>22</v>
      </c>
      <c r="C71" s="64" t="n">
        <v>66</v>
      </c>
      <c r="D71" s="64" t="inlineStr">
        <is>
          <t>M21</t>
        </is>
      </c>
      <c r="E71" s="65" t="inlineStr">
        <is>
          <t>Client Portal - Escalation Requests (Viewer)</t>
        </is>
      </c>
      <c r="F71" s="64" t="inlineStr">
        <is>
          <t>T066</t>
        </is>
      </c>
      <c r="G71" s="65" t="inlineStr">
        <is>
          <t>Read-only Client CIP view for clinic/provider-scoped viewers</t>
        </is>
      </c>
      <c r="H71" s="68" t="inlineStr">
        <is>
          <t>P3</t>
        </is>
      </c>
      <c r="I71" s="64" t="n">
        <v>0.5</v>
      </c>
      <c r="J71" s="65" t="inlineStr">
        <is>
          <t>T064, T051</t>
        </is>
      </c>
      <c r="K71" s="67">
        <f>IF(B71=B70,K70,WORKDAY(L70,1))</f>
        <v/>
      </c>
      <c r="L71" s="67">
        <f>WORKDAY(K71,MAX(1,ROUNDUP(SUMIF($B$6:$B$87,B71,$I$6:$I$87),0))-1)</f>
        <v/>
      </c>
      <c r="M71" s="65" t="inlineStr">
        <is>
          <t>Row 69 · M17 · P3</t>
        </is>
      </c>
      <c r="N71" s="65" t="inlineStr"/>
    </row>
    <row r="72">
      <c r="B72" s="64" t="n">
        <v>23</v>
      </c>
      <c r="C72" s="64" t="n">
        <v>67</v>
      </c>
      <c r="D72" s="64" t="inlineStr">
        <is>
          <t>M22</t>
        </is>
      </c>
      <c r="E72" s="65" t="inlineStr">
        <is>
          <t>Audit Logs (cross-claim)</t>
        </is>
      </c>
      <c r="F72" s="64" t="inlineStr">
        <is>
          <t>T067</t>
        </is>
      </c>
      <c r="G72" s="65" t="inlineStr">
        <is>
          <t>Audit Logs screen over activity spine (filters: user, action, client; claim links)</t>
        </is>
      </c>
      <c r="H72" s="68" t="inlineStr">
        <is>
          <t>P3</t>
        </is>
      </c>
      <c r="I72" s="64" t="n">
        <v>2</v>
      </c>
      <c r="J72" s="65" t="inlineStr">
        <is>
          <t>T037</t>
        </is>
      </c>
      <c r="K72" s="67">
        <f>IF(B72=B71,K71,WORKDAY(L71,1))</f>
        <v/>
      </c>
      <c r="L72" s="67">
        <f>WORKDAY(K72,MAX(1,ROUNDUP(SUMIF($B$6:$B$87,B72,$I$6:$I$87),0))-1)</f>
        <v/>
      </c>
      <c r="M72" s="65" t="inlineStr">
        <is>
          <t>Row 70 · M18 · P3</t>
        </is>
      </c>
      <c r="N72" s="65" t="inlineStr">
        <is>
          <t>No change.</t>
        </is>
      </c>
    </row>
    <row r="73">
      <c r="B73" s="64" t="n">
        <v>24</v>
      </c>
      <c r="C73" s="64" t="n">
        <v>68</v>
      </c>
      <c r="D73" s="64" t="inlineStr">
        <is>
          <t>M23</t>
        </is>
      </c>
      <c r="E73" s="65" t="inlineStr">
        <is>
          <t>Client Management</t>
        </is>
      </c>
      <c r="F73" s="64" t="inlineStr">
        <is>
          <t>T068</t>
        </is>
      </c>
      <c r="G73" s="65" t="inlineStr">
        <is>
          <t>Client Management cards (eligible claims, AR, recovered) with activate/deactivate</t>
        </is>
      </c>
      <c r="H73" s="68" t="inlineStr">
        <is>
          <t>P3</t>
        </is>
      </c>
      <c r="I73" s="64" t="n">
        <v>0.5</v>
      </c>
      <c r="J73" s="65" t="inlineStr">
        <is>
          <t>T003 (D-15)</t>
        </is>
      </c>
      <c r="K73" s="67">
        <f>IF(B73=B72,K72,WORKDAY(L72,1))</f>
        <v/>
      </c>
      <c r="L73" s="67">
        <f>WORKDAY(K73,MAX(1,ROUNDUP(SUMIF($B$6:$B$87,B73,$I$6:$I$87),0))-1)</f>
        <v/>
      </c>
      <c r="M73" s="65" t="inlineStr">
        <is>
          <t>Row 71 · M19 · P3</t>
        </is>
      </c>
      <c r="N73" s="65" t="inlineStr">
        <is>
          <t>No change.</t>
        </is>
      </c>
    </row>
    <row r="74">
      <c r="B74" s="64" t="n">
        <v>25</v>
      </c>
      <c r="C74" s="64" t="n">
        <v>69</v>
      </c>
      <c r="D74" s="64" t="inlineStr">
        <is>
          <t>M24</t>
        </is>
      </c>
      <c r="E74" s="65" t="inlineStr">
        <is>
          <t>Dashboard (KPIs &amp; AR Control Plan)</t>
        </is>
      </c>
      <c r="F74" s="64" t="inlineStr">
        <is>
          <t>T069</t>
        </is>
      </c>
      <c r="G74" s="65" t="inlineStr">
        <is>
          <t>Dashboard KPI API (10 KPIs recovered / potential recovery / overdue)</t>
        </is>
      </c>
      <c r="H74" s="73" t="inlineStr">
        <is>
          <t>P4</t>
        </is>
      </c>
      <c r="I74" s="64" t="n">
        <v>0.75</v>
      </c>
      <c r="J74" s="65" t="inlineStr">
        <is>
          <t>T024, T035, T038</t>
        </is>
      </c>
      <c r="K74" s="67">
        <f>IF(B74=B73,K73,WORKDAY(L73,1))</f>
        <v/>
      </c>
      <c r="L74" s="67">
        <f>WORKDAY(K74,MAX(1,ROUNDUP(SUMIF($B$6:$B$87,B74,$I$6:$I$87),0))-1)</f>
        <v/>
      </c>
      <c r="M74" s="65" t="inlineStr">
        <is>
          <t>Row 72 · M20 · P4</t>
        </is>
      </c>
      <c r="N74" s="65" t="inlineStr">
        <is>
          <t>No change.</t>
        </is>
      </c>
    </row>
    <row r="75">
      <c r="B75" s="64" t="n">
        <v>25</v>
      </c>
      <c r="C75" s="64" t="n">
        <v>70</v>
      </c>
      <c r="D75" s="64" t="inlineStr">
        <is>
          <t>M24</t>
        </is>
      </c>
      <c r="E75" s="65" t="inlineStr">
        <is>
          <t>Dashboard (KPIs &amp; AR Control Plan)</t>
        </is>
      </c>
      <c r="F75" s="64" t="inlineStr">
        <is>
          <t>T070</t>
        </is>
      </c>
      <c r="G75" s="65" t="inlineStr">
        <is>
          <t>Dashboard widgets: AR Collections Progress, Queue Volumes, Category &amp; Aging Distribution, Workflow Status, Recovery Performance, Agent Productivity, insights</t>
        </is>
      </c>
      <c r="H75" s="73" t="inlineStr">
        <is>
          <t>P4</t>
        </is>
      </c>
      <c r="I75" s="64" t="n">
        <v>0.75</v>
      </c>
      <c r="J75" s="65" t="inlineStr">
        <is>
          <t>T069</t>
        </is>
      </c>
      <c r="K75" s="67">
        <f>IF(B75=B74,K74,WORKDAY(L74,1))</f>
        <v/>
      </c>
      <c r="L75" s="67">
        <f>WORKDAY(K75,MAX(1,ROUNDUP(SUMIF($B$6:$B$87,B75,$I$6:$I$87),0))-1)</f>
        <v/>
      </c>
      <c r="M75" s="65" t="inlineStr">
        <is>
          <t>Row 73 · M20 · P4</t>
        </is>
      </c>
      <c r="N75" s="65" t="inlineStr"/>
    </row>
    <row r="76">
      <c r="B76" s="64" t="n">
        <v>26</v>
      </c>
      <c r="C76" s="64" t="n">
        <v>71</v>
      </c>
      <c r="D76" s="64" t="inlineStr">
        <is>
          <t>M25</t>
        </is>
      </c>
      <c r="E76" s="65" t="inlineStr">
        <is>
          <t>Recovery &amp; Financial Analytics</t>
        </is>
      </c>
      <c r="F76" s="64" t="inlineStr">
        <is>
          <t>T071</t>
        </is>
      </c>
      <c r="G76" s="65" t="inlineStr">
        <is>
          <t>Recovery analytics API (payer, panel, agent, client, category, AR queue) + follow-up comments breakdown</t>
        </is>
      </c>
      <c r="H76" s="73" t="inlineStr">
        <is>
          <t>P4</t>
        </is>
      </c>
      <c r="I76" s="64" t="n">
        <v>0.5</v>
      </c>
      <c r="J76" s="65" t="inlineStr">
        <is>
          <t>T024, T029</t>
        </is>
      </c>
      <c r="K76" s="67">
        <f>IF(B76=B75,K75,WORKDAY(L75,1))</f>
        <v/>
      </c>
      <c r="L76" s="67">
        <f>WORKDAY(K76,MAX(1,ROUNDUP(SUMIF($B$6:$B$87,B76,$I$6:$I$87),0))-1)</f>
        <v/>
      </c>
      <c r="M76" s="65" t="inlineStr">
        <is>
          <t>Row 74 · M21 · P4</t>
        </is>
      </c>
      <c r="N76" s="65" t="inlineStr">
        <is>
          <t>No change.</t>
        </is>
      </c>
    </row>
    <row r="77">
      <c r="B77" s="64" t="n">
        <v>26</v>
      </c>
      <c r="C77" s="64" t="n">
        <v>72</v>
      </c>
      <c r="D77" s="64" t="inlineStr">
        <is>
          <t>M25</t>
        </is>
      </c>
      <c r="E77" s="65" t="inlineStr">
        <is>
          <t>Recovery &amp; Financial Analytics</t>
        </is>
      </c>
      <c r="F77" s="64" t="inlineStr">
        <is>
          <t>T072</t>
        </is>
      </c>
      <c r="G77" s="65" t="inlineStr">
        <is>
          <t>Analytics UI charts with scope enforcement</t>
        </is>
      </c>
      <c r="H77" s="73" t="inlineStr">
        <is>
          <t>P4</t>
        </is>
      </c>
      <c r="I77" s="64" t="n">
        <v>0.5</v>
      </c>
      <c r="J77" s="65" t="inlineStr">
        <is>
          <t>T071, T051</t>
        </is>
      </c>
      <c r="K77" s="67">
        <f>IF(B77=B76,K76,WORKDAY(L76,1))</f>
        <v/>
      </c>
      <c r="L77" s="67">
        <f>WORKDAY(K77,MAX(1,ROUNDUP(SUMIF($B$6:$B$87,B77,$I$6:$I$87),0))-1)</f>
        <v/>
      </c>
      <c r="M77" s="65" t="inlineStr">
        <is>
          <t>Row 75 · M21 · P4</t>
        </is>
      </c>
      <c r="N77" s="65" t="inlineStr"/>
    </row>
    <row r="78">
      <c r="B78" s="64" t="n">
        <v>27</v>
      </c>
      <c r="C78" s="64" t="n">
        <v>73</v>
      </c>
      <c r="D78" s="64" t="inlineStr">
        <is>
          <t>M26</t>
        </is>
      </c>
      <c r="E78" s="65" t="inlineStr">
        <is>
          <t>Reports</t>
        </is>
      </c>
      <c r="F78" s="64" t="inlineStr">
        <is>
          <t>T073</t>
        </is>
      </c>
      <c r="G78" s="65" t="inlineStr">
        <is>
          <t>Summary reports: AR Aging, Agent Productivity, Denial Analysis, Panel Type, Recovery Performance</t>
        </is>
      </c>
      <c r="H78" s="73" t="inlineStr">
        <is>
          <t>P4</t>
        </is>
      </c>
      <c r="I78" s="64" t="n">
        <v>2</v>
      </c>
      <c r="J78" s="65" t="inlineStr">
        <is>
          <t>T024, T038</t>
        </is>
      </c>
      <c r="K78" s="67">
        <f>IF(B78=B77,K77,WORKDAY(L77,1))</f>
        <v/>
      </c>
      <c r="L78" s="67">
        <f>WORKDAY(K78,MAX(1,ROUNDUP(SUMIF($B$6:$B$87,B78,$I$6:$I$87),0))-1)</f>
        <v/>
      </c>
      <c r="M78" s="65" t="inlineStr">
        <is>
          <t>Row 76 · M22 · P4</t>
        </is>
      </c>
      <c r="N78" s="65" t="inlineStr">
        <is>
          <t>No change.</t>
        </is>
      </c>
    </row>
    <row r="79">
      <c r="B79" s="64" t="n">
        <v>27</v>
      </c>
      <c r="C79" s="64" t="n">
        <v>74</v>
      </c>
      <c r="D79" s="64" t="inlineStr">
        <is>
          <t>M26</t>
        </is>
      </c>
      <c r="E79" s="65" t="inlineStr">
        <is>
          <t>Reports</t>
        </is>
      </c>
      <c r="F79" s="64" t="inlineStr">
        <is>
          <t>T074</t>
        </is>
      </c>
      <c r="G79" s="65" t="inlineStr">
        <is>
          <t>AR Collections Progress Summary with revenue confidence tiers (100/50/30)</t>
        </is>
      </c>
      <c r="H79" s="73" t="inlineStr">
        <is>
          <t>P4</t>
        </is>
      </c>
      <c r="I79" s="64" t="n">
        <v>2</v>
      </c>
      <c r="J79" s="65" t="inlineStr">
        <is>
          <t>T024</t>
        </is>
      </c>
      <c r="K79" s="67">
        <f>IF(B79=B78,K78,WORKDAY(L78,1))</f>
        <v/>
      </c>
      <c r="L79" s="67">
        <f>WORKDAY(K79,MAX(1,ROUNDUP(SUMIF($B$6:$B$87,B79,$I$6:$I$87),0))-1)</f>
        <v/>
      </c>
      <c r="M79" s="65" t="inlineStr">
        <is>
          <t>Row 77 · M22 · P4</t>
        </is>
      </c>
      <c r="N79" s="65" t="inlineStr"/>
    </row>
    <row r="80">
      <c r="B80" s="64" t="n">
        <v>27</v>
      </c>
      <c r="C80" s="64" t="n">
        <v>75</v>
      </c>
      <c r="D80" s="64" t="inlineStr">
        <is>
          <t>M26</t>
        </is>
      </c>
      <c r="E80" s="65" t="inlineStr">
        <is>
          <t>Reports</t>
        </is>
      </c>
      <c r="F80" s="64" t="inlineStr">
        <is>
          <t>T075</t>
        </is>
      </c>
      <c r="G80" s="65" t="inlineStr">
        <is>
          <t>Re-point RPT-01..09 catalog to new event tables; unblock RPT-04 / RPT-09</t>
        </is>
      </c>
      <c r="H80" s="73" t="inlineStr">
        <is>
          <t>P4</t>
        </is>
      </c>
      <c r="I80" s="64" t="n">
        <v>2</v>
      </c>
      <c r="J80" s="65" t="inlineStr">
        <is>
          <t>T037</t>
        </is>
      </c>
      <c r="K80" s="67">
        <f>IF(B80=B79,K79,WORKDAY(L79,1))</f>
        <v/>
      </c>
      <c r="L80" s="67">
        <f>WORKDAY(K80,MAX(1,ROUNDUP(SUMIF($B$6:$B$87,B80,$I$6:$I$87),0))-1)</f>
        <v/>
      </c>
      <c r="M80" s="65" t="inlineStr">
        <is>
          <t>Row 78 · M22 · P4</t>
        </is>
      </c>
      <c r="N80" s="65" t="inlineStr"/>
    </row>
    <row r="81">
      <c r="B81" s="64" t="n">
        <v>28</v>
      </c>
      <c r="C81" s="64" t="n">
        <v>76</v>
      </c>
      <c r="D81" s="64" t="inlineStr">
        <is>
          <t>M27</t>
        </is>
      </c>
      <c r="E81" s="65" t="inlineStr">
        <is>
          <t>Testing, UAT &amp; Cutover</t>
        </is>
      </c>
      <c r="F81" s="64" t="inlineStr">
        <is>
          <t>T076</t>
        </is>
      </c>
      <c r="G81" s="65" t="inlineStr">
        <is>
          <t>Data sync testing</t>
        </is>
      </c>
      <c r="H81" s="74" t="inlineStr">
        <is>
          <t>P5</t>
        </is>
      </c>
      <c r="I81" s="64" t="n">
        <v>1</v>
      </c>
      <c r="J81" s="65" t="inlineStr">
        <is>
          <t>P1–P4</t>
        </is>
      </c>
      <c r="K81" s="67">
        <f>IF(B81=B80,K80,WORKDAY(L80,1))</f>
        <v/>
      </c>
      <c r="L81" s="67">
        <f>WORKDAY(K81,MAX(1,ROUNDUP(SUMIF($B$6:$B$87,B81,$I$6:$I$87),0))-1)</f>
        <v/>
      </c>
      <c r="M81" s="65" t="inlineStr">
        <is>
          <t>Row 79 · M23 · P5</t>
        </is>
      </c>
      <c r="N81" s="65" t="inlineStr">
        <is>
          <t>No change.</t>
        </is>
      </c>
    </row>
    <row r="82">
      <c r="B82" s="64" t="n">
        <v>28</v>
      </c>
      <c r="C82" s="64" t="n">
        <v>77</v>
      </c>
      <c r="D82" s="64" t="inlineStr">
        <is>
          <t>M27</t>
        </is>
      </c>
      <c r="E82" s="65" t="inlineStr">
        <is>
          <t>Testing, UAT &amp; Cutover</t>
        </is>
      </c>
      <c r="F82" s="64" t="inlineStr">
        <is>
          <t>T077</t>
        </is>
      </c>
      <c r="G82" s="65" t="inlineStr">
        <is>
          <t>Claim assignment workflow testing</t>
        </is>
      </c>
      <c r="H82" s="74" t="inlineStr">
        <is>
          <t>P5</t>
        </is>
      </c>
      <c r="I82" s="64" t="n">
        <v>1</v>
      </c>
      <c r="J82" s="65" t="inlineStr">
        <is>
          <t>T031</t>
        </is>
      </c>
      <c r="K82" s="67">
        <f>IF(B82=B81,K81,WORKDAY(L81,1))</f>
        <v/>
      </c>
      <c r="L82" s="67">
        <f>WORKDAY(K82,MAX(1,ROUNDUP(SUMIF($B$6:$B$87,B82,$I$6:$I$87),0))-1)</f>
        <v/>
      </c>
      <c r="M82" s="65" t="inlineStr">
        <is>
          <t>Row 80 · M23 · P5</t>
        </is>
      </c>
      <c r="N82" s="65" t="inlineStr"/>
    </row>
    <row r="83">
      <c r="B83" s="64" t="n">
        <v>28</v>
      </c>
      <c r="C83" s="64" t="n">
        <v>78</v>
      </c>
      <c r="D83" s="64" t="inlineStr">
        <is>
          <t>M27</t>
        </is>
      </c>
      <c r="E83" s="65" t="inlineStr">
        <is>
          <t>Testing, UAT &amp; Cutover</t>
        </is>
      </c>
      <c r="F83" s="64" t="inlineStr">
        <is>
          <t>T078</t>
        </is>
      </c>
      <c r="G83" s="65" t="inlineStr">
        <is>
          <t>Assignment Management Testing</t>
        </is>
      </c>
      <c r="H83" s="74" t="inlineStr">
        <is>
          <t>P5</t>
        </is>
      </c>
      <c r="I83" s="64" t="n">
        <v>1</v>
      </c>
      <c r="J83" s="65" t="inlineStr">
        <is>
          <t>T055–T058</t>
        </is>
      </c>
      <c r="K83" s="67">
        <f>IF(B83=B82,K82,WORKDAY(L82,1))</f>
        <v/>
      </c>
      <c r="L83" s="67">
        <f>WORKDAY(K83,MAX(1,ROUNDUP(SUMIF($B$6:$B$87,B83,$I$6:$I$87),0))-1)</f>
        <v/>
      </c>
      <c r="M83" s="65" t="inlineStr">
        <is>
          <t>Row 81 · M23 · P5</t>
        </is>
      </c>
      <c r="N83" s="65" t="inlineStr"/>
    </row>
    <row r="84">
      <c r="B84" s="64" t="n">
        <v>28</v>
      </c>
      <c r="C84" s="64" t="n">
        <v>79</v>
      </c>
      <c r="D84" s="64" t="inlineStr">
        <is>
          <t>M27</t>
        </is>
      </c>
      <c r="E84" s="65" t="inlineStr">
        <is>
          <t>Testing, UAT &amp; Cutover</t>
        </is>
      </c>
      <c r="F84" s="64" t="inlineStr">
        <is>
          <t>T079</t>
        </is>
      </c>
      <c r="G84" s="65" t="inlineStr">
        <is>
          <t>Escalation Workflow testing</t>
        </is>
      </c>
      <c r="H84" s="74" t="inlineStr">
        <is>
          <t>P5</t>
        </is>
      </c>
      <c r="I84" s="64" t="n">
        <v>1</v>
      </c>
      <c r="J84" s="65" t="inlineStr">
        <is>
          <t>T061–T066</t>
        </is>
      </c>
      <c r="K84" s="67">
        <f>IF(B84=B83,K83,WORKDAY(L83,1))</f>
        <v/>
      </c>
      <c r="L84" s="67">
        <f>WORKDAY(K84,MAX(1,ROUNDUP(SUMIF($B$6:$B$87,B84,$I$6:$I$87),0))-1)</f>
        <v/>
      </c>
      <c r="M84" s="65" t="inlineStr">
        <is>
          <t>Row 82 · M23 · P5</t>
        </is>
      </c>
      <c r="N84" s="65" t="inlineStr"/>
    </row>
    <row r="85">
      <c r="B85" s="64" t="n">
        <v>28</v>
      </c>
      <c r="C85" s="64" t="n">
        <v>80</v>
      </c>
      <c r="D85" s="64" t="inlineStr">
        <is>
          <t>M27</t>
        </is>
      </c>
      <c r="E85" s="65" t="inlineStr">
        <is>
          <t>Testing, UAT &amp; Cutover</t>
        </is>
      </c>
      <c r="F85" s="64" t="inlineStr">
        <is>
          <t>T080</t>
        </is>
      </c>
      <c r="G85" s="65" t="inlineStr">
        <is>
          <t>UAT with pilot labs; defect fixing</t>
        </is>
      </c>
      <c r="H85" s="74" t="inlineStr">
        <is>
          <t>P5</t>
        </is>
      </c>
      <c r="I85" s="64" t="n">
        <v>1</v>
      </c>
      <c r="J85" s="65" t="inlineStr">
        <is>
          <t>T076–T079</t>
        </is>
      </c>
      <c r="K85" s="67">
        <f>IF(B85=B84,K84,WORKDAY(L84,1))</f>
        <v/>
      </c>
      <c r="L85" s="67">
        <f>WORKDAY(K85,MAX(1,ROUNDUP(SUMIF($B$6:$B$87,B85,$I$6:$I$87),0))-1)</f>
        <v/>
      </c>
      <c r="M85" s="65" t="inlineStr">
        <is>
          <t>Row 83 · M23 · P5</t>
        </is>
      </c>
      <c r="N85" s="65" t="inlineStr"/>
    </row>
    <row r="86">
      <c r="B86" s="64" t="n">
        <v>28</v>
      </c>
      <c r="C86" s="64" t="n">
        <v>81</v>
      </c>
      <c r="D86" s="64" t="inlineStr">
        <is>
          <t>M27</t>
        </is>
      </c>
      <c r="E86" s="65" t="inlineStr">
        <is>
          <t>Testing, UAT &amp; Cutover</t>
        </is>
      </c>
      <c r="F86" s="64" t="inlineStr">
        <is>
          <t>T081</t>
        </is>
      </c>
      <c r="G86" s="65" t="inlineStr">
        <is>
          <t>Training, SOP update</t>
        </is>
      </c>
      <c r="H86" s="74" t="inlineStr">
        <is>
          <t>P5</t>
        </is>
      </c>
      <c r="I86" s="64" t="n">
        <v>1</v>
      </c>
      <c r="J86" s="65" t="inlineStr">
        <is>
          <t>T080</t>
        </is>
      </c>
      <c r="K86" s="67">
        <f>IF(B86=B85,K85,WORKDAY(L85,1))</f>
        <v/>
      </c>
      <c r="L86" s="67">
        <f>WORKDAY(K86,MAX(1,ROUNDUP(SUMIF($B$6:$B$87,B86,$I$6:$I$87),0))-1)</f>
        <v/>
      </c>
      <c r="M86" s="65" t="inlineStr">
        <is>
          <t>Row 84 · M23 · P5</t>
        </is>
      </c>
      <c r="N86" s="65" t="inlineStr"/>
    </row>
    <row r="87">
      <c r="B87" s="68" t="n">
        <v>29</v>
      </c>
      <c r="C87" s="68" t="n">
        <v>82</v>
      </c>
      <c r="D87" s="68" t="inlineStr">
        <is>
          <t>M28</t>
        </is>
      </c>
      <c r="E87" s="69" t="inlineStr">
        <is>
          <t>Go-Live</t>
        </is>
      </c>
      <c r="F87" s="68" t="inlineStr">
        <is>
          <t>T082</t>
        </is>
      </c>
      <c r="G87" s="69" t="inlineStr">
        <is>
          <t>Go-live and System monitoring</t>
        </is>
      </c>
      <c r="H87" s="74" t="inlineStr">
        <is>
          <t>P5</t>
        </is>
      </c>
      <c r="I87" s="64" t="n">
        <v>1</v>
      </c>
      <c r="J87" s="65" t="inlineStr">
        <is>
          <t>T080, T081</t>
        </is>
      </c>
      <c r="K87" s="67">
        <f>IF(B87=B86,K86,WORKDAY(L86,1))</f>
        <v/>
      </c>
      <c r="L87" s="67">
        <f>WORKDAY(K87,MAX(1,ROUNDUP(SUMIF($B$6:$B$87,B87,$I$6:$I$87),0))-1)</f>
        <v/>
      </c>
      <c r="M87" s="65" t="inlineStr">
        <is>
          <t>Row 85 · M23 · P5</t>
        </is>
      </c>
      <c r="N87" s="65" t="inlineStr">
        <is>
          <t>Module ID was M23 (shared with Testing); Go-Live is its own module.</t>
        </is>
      </c>
    </row>
    <row r="89">
      <c r="B89" s="75" t="inlineStr">
        <is>
          <t>Legend</t>
        </is>
      </c>
    </row>
    <row r="90" ht="28" customHeight="1">
      <c r="B90" s="59" t="inlineStr">
        <is>
          <t>Yellow rows — task moved from its place on the Plan sheet (reason in the last column). Red reasons — duplicate or suspect task to resolve.</t>
        </is>
      </c>
    </row>
    <row r="91" ht="28" customHeight="1">
      <c r="B91" s="59" t="inlineStr">
        <is>
          <t>Dates are formulas: steps run one after another in working days (WORKDAY, weekends skipped, no holidays), each step lasting its estimated days rounded up. The Plan sheet's dates carried extra buffer per module, so these dates are the estimate-only schedule.</t>
        </is>
      </c>
    </row>
    <row r="92" ht="28" customHeight="1">
      <c r="B92" s="59" t="inlineStr">
        <is>
          <t>Phase changes: T049–T052 (roles, permissions, view-only access) P2 → P1. Every other task keeps its original phase.</t>
        </is>
      </c>
    </row>
  </sheetData>
  <autoFilter ref="B5:N87"/>
  <mergeCells count="6">
    <mergeCell ref="B90:N90"/>
    <mergeCell ref="B3:D3"/>
    <mergeCell ref="B2:I2"/>
    <mergeCell ref="B92:N92"/>
    <mergeCell ref="B91:N91"/>
    <mergeCell ref="B89:N8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2:C14"/>
  <sheetViews>
    <sheetView showGridLines="0" workbookViewId="0">
      <selection activeCell="B2" sqref="B2:C14"/>
    </sheetView>
  </sheetViews>
  <sheetFormatPr baseColWidth="8" defaultRowHeight="14.4"/>
  <cols>
    <col width="28" customWidth="1" min="2" max="2"/>
    <col width="73.109375" customWidth="1" min="3" max="3"/>
  </cols>
  <sheetData>
    <row r="2">
      <c r="B2" s="50" t="inlineStr">
        <is>
          <t>Workflow Status</t>
        </is>
      </c>
      <c r="C2" s="50" t="inlineStr">
        <is>
          <t>Subqueue</t>
        </is>
      </c>
    </row>
    <row r="3">
      <c r="B3" s="51" t="inlineStr">
        <is>
          <t>Closed</t>
        </is>
      </c>
      <c r="C3" s="51" t="n"/>
    </row>
    <row r="4">
      <c r="B4" s="51" t="inlineStr">
        <is>
          <t>Non Responded AR</t>
        </is>
      </c>
      <c r="C4" s="51" t="n"/>
    </row>
    <row r="5">
      <c r="B5" s="51" t="inlineStr">
        <is>
          <t>Denied</t>
        </is>
      </c>
      <c r="C5" s="51" t="n"/>
    </row>
    <row r="6">
      <c r="B6" s="51" t="inlineStr">
        <is>
          <t>Partially Paid</t>
        </is>
      </c>
      <c r="C6" s="51" t="n"/>
    </row>
    <row r="7">
      <c r="B7" s="51" t="inlineStr">
        <is>
          <t>Patient AR</t>
        </is>
      </c>
      <c r="C7" s="51" t="n"/>
    </row>
    <row r="8">
      <c r="B8" s="51" t="inlineStr">
        <is>
          <t>Partially Adjusted</t>
        </is>
      </c>
      <c r="C8" s="51" t="n"/>
    </row>
    <row r="9">
      <c r="B9" s="51" t="inlineStr">
        <is>
          <t>Client Escalation Pending</t>
        </is>
      </c>
      <c r="C9" s="51" t="inlineStr">
        <is>
          <t>Pending Approval, Sent to Client, Client Responded, Returned to Agent</t>
        </is>
      </c>
    </row>
    <row r="10">
      <c r="B10" s="51" t="inlineStr">
        <is>
          <t>CIP Response Received</t>
        </is>
      </c>
      <c r="C10" s="51" t="n"/>
    </row>
    <row r="11">
      <c r="B11" s="51" t="inlineStr">
        <is>
          <t>ReFollow-up Required</t>
        </is>
      </c>
      <c r="C11" s="51" t="n"/>
    </row>
    <row r="12">
      <c r="B12" s="51" t="inlineStr">
        <is>
          <t>Submitted for QA</t>
        </is>
      </c>
      <c r="C12" s="51" t="n"/>
    </row>
    <row r="13">
      <c r="B13" s="51" t="inlineStr">
        <is>
          <t>Completed</t>
        </is>
      </c>
      <c r="C13" s="51" t="n"/>
    </row>
    <row r="14">
      <c r="B14" s="51" t="inlineStr">
        <is>
          <t>QA Rejected</t>
        </is>
      </c>
      <c r="C14" s="5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Prasanna R</dc:creator>
  <dcterms:created xmlns:dcterms="http://purl.org/dc/terms/" xmlns:xsi="http://www.w3.org/2001/XMLSchema-instance" xsi:type="dcterms:W3CDTF">2026-09-25T16:31:57Z</dcterms:created>
  <dcterms:modified xmlns:dcterms="http://purl.org/dc/terms/" xmlns:xsi="http://www.w3.org/2001/XMLSchema-instance" xsi:type="dcterms:W3CDTF">2026-10-05T07:44:16Z</dcterms:modified>
  <cp:lastModifiedBy>Prasanna R</cp:lastModifiedBy>
</cp:coreProperties>
</file>