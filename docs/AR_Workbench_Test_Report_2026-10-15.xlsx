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fessional\LRN-2\Projects\DWMS\AR Workflow comparison\Testing\"/>
    </mc:Choice>
  </mc:AlternateContent>
  <xr:revisionPtr revIDLastSave="0" documentId="8_{59265EA2-94EF-42A4-9843-CEFEDA5105D1}" xr6:coauthVersionLast="47" xr6:coauthVersionMax="47" xr10:uidLastSave="{00000000-0000-0000-0000-000000000000}"/>
  <bookViews>
    <workbookView xWindow="-108" yWindow="-108" windowWidth="23256" windowHeight="12456" tabRatio="896" activeTab="1" xr2:uid="{00000000-000D-0000-FFFF-FFFF00000000}"/>
  </bookViews>
  <sheets>
    <sheet name="Summary" sheetId="1" r:id="rId1"/>
    <sheet name="Test Cases" sheetId="2" r:id="rId2"/>
    <sheet name="Role Workflow Tests" sheetId="3" r:id="rId3"/>
    <sheet name="Defect Log" sheetId="4" r:id="rId4"/>
    <sheet name="Observations" sheetId="5" r:id="rId5"/>
    <sheet name="Mockup Comparison" sheetId="6" r:id="rId6"/>
    <sheet name="Queue Reconciliation" sheetId="7" r:id="rId7"/>
  </sheets>
  <definedNames>
    <definedName name="_xlnm._FilterDatabase" localSheetId="3" hidden="1">'Defect Log'!$A$1:$F$21</definedName>
    <definedName name="_xlnm._FilterDatabase" localSheetId="2" hidden="1">'Role Workflow Tests'!$A$1:$J$31</definedName>
    <definedName name="_xlnm._FilterDatabase" localSheetId="1" hidden="1">'Test Cases'!$A$1:$K$69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7" l="1"/>
  <c r="D21" i="7" s="1"/>
  <c r="D17" i="7"/>
  <c r="C17" i="7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E65" i="1" s="1"/>
  <c r="D58" i="1"/>
  <c r="D65" i="1" s="1"/>
  <c r="C58" i="1"/>
  <c r="C65" i="1" s="1"/>
  <c r="B58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H34" i="1"/>
  <c r="G34" i="1"/>
  <c r="F34" i="1"/>
  <c r="E34" i="1"/>
  <c r="D34" i="1"/>
  <c r="C34" i="1"/>
  <c r="B34" i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G40" i="1" s="1"/>
  <c r="F25" i="1"/>
  <c r="F40" i="1" s="1"/>
  <c r="E25" i="1"/>
  <c r="E40" i="1" s="1"/>
  <c r="D25" i="1"/>
  <c r="D40" i="1" s="1"/>
  <c r="C25" i="1"/>
  <c r="C40" i="1" s="1"/>
  <c r="B25" i="1"/>
  <c r="H24" i="1"/>
  <c r="H40" i="1" s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B40" i="1" s="1"/>
  <c r="H22" i="1"/>
  <c r="G22" i="1"/>
  <c r="F22" i="1"/>
  <c r="E22" i="1"/>
  <c r="D22" i="1"/>
  <c r="C22" i="1"/>
  <c r="B22" i="1"/>
  <c r="B16" i="1"/>
  <c r="B15" i="1"/>
  <c r="B14" i="1"/>
  <c r="B13" i="1"/>
  <c r="B12" i="1"/>
  <c r="B11" i="1"/>
  <c r="B65" i="1" l="1"/>
  <c r="B18" i="1"/>
  <c r="B17" i="1"/>
  <c r="C11" i="1" s="1"/>
  <c r="C12" i="1" l="1"/>
  <c r="C13" i="1"/>
  <c r="C14" i="1"/>
  <c r="C15" i="1"/>
  <c r="C16" i="1"/>
  <c r="C17" i="1"/>
</calcChain>
</file>

<file path=xl/sharedStrings.xml><?xml version="1.0" encoding="utf-8"?>
<sst xmlns="http://schemas.openxmlformats.org/spreadsheetml/2006/main" count="1406" uniqueCount="919">
  <si>
    <t>AR Workbench – Requirements Test Report</t>
  </si>
  <si>
    <t>Requirement source</t>
  </si>
  <si>
    <t>AR_Workbench_Developer_Handoff_v1.0.docx (v1.0, 29 Sep 2026); mockup LRN_Denial_AR_Workbench_Demo_Account.html</t>
  </si>
  <si>
    <t>Application</t>
  </si>
  <si>
    <t>https://www.lrnanalytics.com/ARWBTest/ (Test) – lab Inhealth_DTR</t>
  </si>
  <si>
    <t>Tested as</t>
  </si>
  <si>
    <t>Phase 1: ARWBInhealthSA (System Administrator). Phase 2 role workflow: ARAgent1, QA1, TeamLead, RCMManager, ClinicViewer (Insight Family Practice), AccountManager (Client Viewer)</t>
  </si>
  <si>
    <t>Test date</t>
  </si>
  <si>
    <t>15 Oct 2026</t>
  </si>
  <si>
    <t>Data snapshot</t>
  </si>
  <si>
    <t>Sync run #3, 08 Oct 2026 – 84,074 claims / 151,186 CPT lines</t>
  </si>
  <si>
    <t>Method</t>
  </si>
  <si>
    <t>Phase 1 read-only UI walkthrough + API reconciliation of all 84,074 claims. Phase 2 (user-approved) end-to-end role workflows on 10 test claims — see 'Role Workflow Tests'.</t>
  </si>
  <si>
    <t>Status</t>
  </si>
  <si>
    <t># Test Cases</t>
  </si>
  <si>
    <t>% of Total</t>
  </si>
  <si>
    <t>Pass</t>
  </si>
  <si>
    <t>Fail</t>
  </si>
  <si>
    <t>Partial</t>
  </si>
  <si>
    <t>Blocked</t>
  </si>
  <si>
    <t>Not Executed</t>
  </si>
  <si>
    <t>N/A (Phase 2)</t>
  </si>
  <si>
    <t>Total</t>
  </si>
  <si>
    <t>Pass rate (of executed)</t>
  </si>
  <si>
    <t>Executed = Pass + Fail + Partial</t>
  </si>
  <si>
    <t>Module</t>
  </si>
  <si>
    <t>Data Sync &amp; Grain</t>
  </si>
  <si>
    <t>Denial Insights</t>
  </si>
  <si>
    <t>Claim Detail</t>
  </si>
  <si>
    <t>AR Queue Logic</t>
  </si>
  <si>
    <t>Configuration</t>
  </si>
  <si>
    <t>Roles &amp; Access</t>
  </si>
  <si>
    <t>Denial Logic</t>
  </si>
  <si>
    <t>Weekly Re-Sync</t>
  </si>
  <si>
    <t>Auto Adjustments</t>
  </si>
  <si>
    <t>Financial Fields</t>
  </si>
  <si>
    <t>Follow-Up</t>
  </si>
  <si>
    <t>Attachments</t>
  </si>
  <si>
    <t>Write-Off Approval</t>
  </si>
  <si>
    <t>Escalation / Reassignment</t>
  </si>
  <si>
    <t>Assignment</t>
  </si>
  <si>
    <t>CIP Workflow</t>
  </si>
  <si>
    <t>User Management</t>
  </si>
  <si>
    <t>Export / Import</t>
  </si>
  <si>
    <t>Key findings</t>
  </si>
  <si>
    <t>1. Queue classification engine is correct: all 84,074 claims sit in exactly one queue and every Closed, Patient AR, Non-Responder, Denied and Partially Paid/Adjusted rule reconciles with zero exceptions.</t>
  </si>
  <si>
    <t>2. Work-queue feed and 'Claims Awaiting Assignment' KPI include Non-Collectible, Unbilled (and for the KPI, Closed/Patient AR) claims — contrary to §3.2 (DEF-05, DEF-06).</t>
  </si>
  <si>
    <t>3. Two conflicting Non-Collectible lists exist (Workbench list vs Denial Code Master) — needs a single source of truth (DEF-07).</t>
  </si>
  <si>
    <t>4. Financial fields not functional: Revenue Expectation is $0 for every claim (no fee schedule), so Potential Recovery / Recovery Status are blocked; Recovered Amount includes adjustments (DEF-11, DEF-12).</t>
  </si>
  <si>
    <t>5. Attachments on follow-ups, document categories and the Document Vault are not built (DEF-13, DEF-14).</t>
  </si>
  <si>
    <t>6. 48% of denied claims fall to 'Other' because 50 codes (incl. 216) are unmapped — waiting on business categorization (DEF-09).</t>
  </si>
  <si>
    <t>7. CRITICAL: client users (Clinic &amp; Client Viewer) can open claim pages directly and read internal agent/QA notes (DEF-15).</t>
  </si>
  <si>
    <t>8. Role workflows largely work end-to-end: assignment, QA approve/reject/rework, write-off approval, CIP two-level approval, client response with re-escalation and return to agent, escalation/reassignment requests (30 role steps, see 'Role Workflow Tests').</t>
  </si>
  <si>
    <t>9. Role gaps: agent cannot mark write-off as posted (DEF-17); Clinic Viewer cannot respond to CIPs (DEF-18); QA API exposes restricted queues (DEF-16); Manager cannot maintain NC list (DEF-08).</t>
  </si>
  <si>
    <t>10. Still not executed: weekly re-sync scenarios (need a new sync file) and Azure Blob HIPAA controls (infra review). 19510788 was left auto-adjusted and unposted to verify re-sync flagging on the next sync.</t>
  </si>
  <si>
    <t>Role workflow results (Phase 2)</t>
  </si>
  <si>
    <t>Role</t>
  </si>
  <si>
    <t>Steps</t>
  </si>
  <si>
    <t>System Administrator</t>
  </si>
  <si>
    <t>AR Agent</t>
  </si>
  <si>
    <t>QA Reviewer</t>
  </si>
  <si>
    <t>Team Lead</t>
  </si>
  <si>
    <t>Clinic Viewer</t>
  </si>
  <si>
    <t>Client Viewer</t>
  </si>
  <si>
    <t>RCM Manager</t>
  </si>
  <si>
    <t>Test Case ID</t>
  </si>
  <si>
    <t>Requirement Ref</t>
  </si>
  <si>
    <t>Priority</t>
  </si>
  <si>
    <t>Test Scenario</t>
  </si>
  <si>
    <t>Test Data / Pre-conditions</t>
  </si>
  <si>
    <t>Test Steps</t>
  </si>
  <si>
    <t>Expected Result</t>
  </si>
  <si>
    <t>Actual Result</t>
  </si>
  <si>
    <t>Defect / Obs Ref</t>
  </si>
  <si>
    <t>TC-001</t>
  </si>
  <si>
    <t>§2.1 / Feature #1</t>
  </si>
  <si>
    <t>High</t>
  </si>
  <si>
    <t>Full claim-level master file is synced for the lab</t>
  </si>
  <si>
    <t>Lab Inhealth_DTR; Data Processing run #3 (R20261005INH3267 ... 09.22–09.28.2026.csv)</t>
  </si>
  <si>
    <t>1. Open Data Processing.
2. Review Run history and source counters.
3. Reconcile claim count to queue totals via API.</t>
  </si>
  <si>
    <t>Every claim in the claim-level master file is loaded (not only insight-linked claims); line-level file also read.</t>
  </si>
  <si>
    <t>Run #3 succeeded: 84,074 claims (1,206 new, 1,802 updated, 81,066 unchanged, 0 dropped); 151,186 CPT lines read. 84,074 = sum of all queue counts. Header field 'Master File Loaded' shows '—'.</t>
  </si>
  <si>
    <t>OBS-01</t>
  </si>
  <si>
    <t>TC-002</t>
  </si>
  <si>
    <t>§2.1</t>
  </si>
  <si>
    <t>Medium</t>
  </si>
  <si>
    <t>Sync cadence is weekly and aligned with master refresh</t>
  </si>
  <si>
    <t>Run history; Nightly Queue Snapshots</t>
  </si>
  <si>
    <t>1. Review run history dates.
2. Review nightly snapshot table.</t>
  </si>
  <si>
    <t>Weekly sync runs recorded; nightly recalculation of aging / TFL / re-follow-up.</t>
  </si>
  <si>
    <t>Syncs on Sep 30 and Oct 08, 2026; nightly snapshots Oct 06–Oct 15 present.</t>
  </si>
  <si>
    <t>TC-003</t>
  </si>
  <si>
    <t>§2.1, §3</t>
  </si>
  <si>
    <t>Every list, queue and count is at claim grain; each claim sits in exactly one financial queue</t>
  </si>
  <si>
    <t>All 84,074 claims pulled via claims API (read-only)</t>
  </si>
  <si>
    <t>1. Pull all claims.
2. Check unique claim keys.
3. Sum queue/sub-queue counts.</t>
  </si>
  <si>
    <t>Unique claim count = total; each claim in exactly one queue.</t>
  </si>
  <si>
    <t>84,074 records, 84,074 unique claim keys; queue counts sum to 84,074 with no overlaps.</t>
  </si>
  <si>
    <t>TC-004</t>
  </si>
  <si>
    <t>§2.2</t>
  </si>
  <si>
    <t>Dashboard 'Latest Denial Analysis Report insights' shows the CURRENT week's insights</t>
  </si>
  <si>
    <t>Current week (Oct 14, 2026) has 1 uploaded Key Observation (CO-216)</t>
  </si>
  <si>
    <t>1. Open Dashboard.
2. Compare insight list with Data Processing &gt; Current week.</t>
  </si>
  <si>
    <t>Dashboard shows the same current-week insights as Data Processing, with description populated.</t>
  </si>
  <si>
    <t>Dashboard lists 5 system-generated codes (216, 252, 31, 27, 96) while Data Processing current week shows only the uploaded CO-216 insight. Dashboard Description column shows '—' for every row.</t>
  </si>
  <si>
    <t>DEF-01, DEF-02</t>
  </si>
  <si>
    <t>TC-005</t>
  </si>
  <si>
    <t>Data Processing shows current + previous week insights, unresolved items only</t>
  </si>
  <si>
    <t>Data Processing &gt; Denial Analysis Report</t>
  </si>
  <si>
    <t>1. Open Current week tab.
2. Open Previous week tab.
3. Check 'still open' counts.</t>
  </si>
  <si>
    <t>Two tabs (current &amp; previous); counts reflect only unresolved / unassigned items.</t>
  </si>
  <si>
    <t>Current week (Oct 14) and Previous week (Sep 28) tabs present; open counts shown as 'X of Y'. Previous-week (system-generated) rows have Description '—' for all codes.</t>
  </si>
  <si>
    <t>DEF-02</t>
  </si>
  <si>
    <t>TC-006</t>
  </si>
  <si>
    <t>Clicking an insight routes to the filtered claim set in the Work Queue for bulk assignment</t>
  </si>
  <si>
    <t>Insight CO-216 (Still open 1,699)</t>
  </si>
  <si>
    <t>1. Data Processing &gt; Current week.
2. Click 'Route to Work Queue' on CO-216.</t>
  </si>
  <si>
    <t>Work Queue opens filtered to the insight's unassigned open claims; count equals insight's open count.</t>
  </si>
  <si>
    <t>Work Queue opened with filters Denial Code = CO-216, Workflow Status = Unassigned, Open AR only; 1,700 records returned vs 1,699 on the insight (1 claim carries 216 as a secondary code).</t>
  </si>
  <si>
    <t>OBS-02</t>
  </si>
  <si>
    <t>TC-007</t>
  </si>
  <si>
    <t>Insight counts cover all payers; Highest-impact payer is informational only</t>
  </si>
  <si>
    <t>Insight CO-216</t>
  </si>
  <si>
    <t>1. Compare # of denials vs. Ins. # of denials for top payer.</t>
  </si>
  <si>
    <t>Count and balance cover all payers; top payer is not used as a filter.</t>
  </si>
  <si>
    <t>CO-216: 2,051 denials / $714,194.50 across all payers; BCBS-MT shown as highest-impact payer (2,044) for information. Routing did not apply a payer filter.</t>
  </si>
  <si>
    <t>TC-008</t>
  </si>
  <si>
    <t>§2.2, AT-7, Feature #3</t>
  </si>
  <si>
    <t>Assigned claims are deducted from insight outstanding count/balance</t>
  </si>
  <si>
    <t>CO-216: 2,051 total; 10 already assigned</t>
  </si>
  <si>
    <t>1. Read insight 'Still open'.
2. Independently recompute open, unassigned claims with primary denial 216.</t>
  </si>
  <si>
    <t>Insight shows only the unassigned remainder.</t>
  </si>
  <si>
    <t>Insight shows Still open 1,699 / $591,207.62. Independent recomputation: 1,699 open, unassigned claims with primary denial 216 (assigned claims excluded).</t>
  </si>
  <si>
    <t>TC-009</t>
  </si>
  <si>
    <t>§2.3</t>
  </si>
  <si>
    <t>Denial Info shows the claim's primary denial (code, description, category, classification)</t>
  </si>
  <si>
    <t>Claim 19448764 (curated denial 'CO11, CO252')</t>
  </si>
  <si>
    <t>1. Open claim.
2. Open Denial Info tab.</t>
  </si>
  <si>
    <t>Primary code, description, category and classification populated.</t>
  </si>
  <si>
    <t>Primary Denial Code '11 (as received CO11)', Category 'Coding-Related Denials' shown. Denial Reason '—'; All Denial Codes '—' although claim carries CO11, CO252; Line-Level Codes rendered as '11252' (two codes concatenated without separator).</t>
  </si>
  <si>
    <t>DEF-03</t>
  </si>
  <si>
    <t>TC-010</t>
  </si>
  <si>
    <t>§2.3, Feature #4</t>
  </si>
  <si>
    <t>CPT Line-Level Detail has an expand control per CPT showing line-level denial code (prefix retained), description, classification</t>
  </si>
  <si>
    <t>Claim 19448764 (7 CPT lines)</t>
  </si>
  <si>
    <t>1. Open CPT / Line Detail tab.
2. Look for expand control on each CPT.</t>
  </si>
  <si>
    <t>Each CPT row expandable; reveals line denial code with original prefix, description and classification.</t>
  </si>
  <si>
    <t>Line denials appear as an always-visible sub-row ('↳ Denial CO11 · Mar 24, 2026') — no expand control, no description/classification on this tab. Description and category are available in the separate 'Line-Level Denials' table under Denial Info. Prefix retained for display.</t>
  </si>
  <si>
    <t>DEF-04</t>
  </si>
  <si>
    <t>TC-011</t>
  </si>
  <si>
    <t>Line-level data does not drive queue placement</t>
  </si>
  <si>
    <t>Claim 19448764: lines Denied CO11/CO252 + 5 Partially Adjusted lines</t>
  </si>
  <si>
    <t>1. Compare line statuses with claim AR Queue.</t>
  </si>
  <si>
    <t>Queue derived from claim-level primary denial only.</t>
  </si>
  <si>
    <t>Claim placed in Denied · Possible Collectible based on claim-level primary 11; line-level partial adjustments did not affect placement.</t>
  </si>
  <si>
    <t>TC-012</t>
  </si>
  <si>
    <t>§3.1, AT-1</t>
  </si>
  <si>
    <t>Closed – Fully Paid: Ins Bal = 0 and Pt Bal = 0; not fed to work queue</t>
  </si>
  <si>
    <t>All claims (API)</t>
  </si>
  <si>
    <t>1. Check every Closed claim balance.
2. Check no zero-balance claim sits outside Closed.
3. Check queue is non-priority.</t>
  </si>
  <si>
    <t>All Closed – Fully Paid claims have zero balances; not in active work-queue feed.</t>
  </si>
  <si>
    <t>42,502 claims; 0 with any balance; 0 zero-balance claims outside Closed; queue flagged non-priority (not auto-fed).</t>
  </si>
  <si>
    <t>TC-013</t>
  </si>
  <si>
    <t>§3.1</t>
  </si>
  <si>
    <t>Closed – Fully Adjusted: fully adjusted, no balance</t>
  </si>
  <si>
    <t>1. Check balances of Closed – Fully Adjusted claims.</t>
  </si>
  <si>
    <t>Zero insurance and patient balance.</t>
  </si>
  <si>
    <t>21,088 claims, all zero balance.</t>
  </si>
  <si>
    <t>TC-014</t>
  </si>
  <si>
    <t>§3.1, AT-2</t>
  </si>
  <si>
    <t>Non-Responder: Ins Bal &gt; 0, no payment/denial/adjustment; auto-fed to work queue</t>
  </si>
  <si>
    <t>1. Check Non-Responder claims for denial codes and balance.
2. Check priority flag.</t>
  </si>
  <si>
    <t>All have Ins Bal &gt; 0 and no denial; queue is auto-fed.</t>
  </si>
  <si>
    <t>2,627 claims; 0 with a denial code; 0 with zero Ins Bal; queue is priority (auto-fed). 2 claims have source status 'Patient Responsibility'.</t>
  </si>
  <si>
    <t>OBS-03</t>
  </si>
  <si>
    <t>TC-015</t>
  </si>
  <si>
    <t>§3.1, §4.1</t>
  </si>
  <si>
    <t>Denied – Possible Collectible: Ins Bal &gt; 0, primary denial NOT on NC List</t>
  </si>
  <si>
    <t>NC List = 197, 242, 257, 288, 27, 31</t>
  </si>
  <si>
    <t>1. For each Denied PC claim, strip prefix from primary code and test against NC List.</t>
  </si>
  <si>
    <t>No Denied PC claim has an NC primary code.</t>
  </si>
  <si>
    <t>4,280 claims; 0 with NC primary. 100 claims carry an NC/terminal code as a SECONDARY code in the curated column (e.g., 19509114 'PI5, PR242') and remain Possible Collectible — consistent with interim 'first code = primary' rule; terminal-denial override is Phase 2.</t>
  </si>
  <si>
    <t>OBS-04</t>
  </si>
  <si>
    <t>TC-016</t>
  </si>
  <si>
    <t>§3.1, §3.2, AT-3</t>
  </si>
  <si>
    <t>Denied – Non-Collectible: primary on NC List; visible only to Admin/Mgr/TL</t>
  </si>
  <si>
    <t>Primary 197 / 27 / 31 etc.</t>
  </si>
  <si>
    <t>1. Verify placement via API.
2. Verify visibility as AR Agent / QA.</t>
  </si>
  <si>
    <t>Placed in Denied – Non-Collectible; hidden from Agent/QA.</t>
  </si>
  <si>
    <t>751 claims placed correctly (all NC primary). Phase 2: ARAgent1 sees only its own 18 claims; NC queue query returns 0 and other claims 404 for the agent. Team Lead sees NC (749). QA Reviewer UI is blocked, but the claims API returns NC claims to QA (DEF-16).</t>
  </si>
  <si>
    <t>DEF-16</t>
  </si>
  <si>
    <t>TC-017</t>
  </si>
  <si>
    <t>Partially Paid – Possible Collectible / Non-Collectible split uses the same NC List</t>
  </si>
  <si>
    <t>1. Check NC flag vs sub-queue.</t>
  </si>
  <si>
    <t>PC: primary not on NC List; NC: primary on NC List.</t>
  </si>
  <si>
    <t>302 PC (0 NC primaries) / 8 NC (all NC primaries).</t>
  </si>
  <si>
    <t>TC-018</t>
  </si>
  <si>
    <t>Partially Adjusted: no denial, some CPTs adjusted, Ins Bal &gt; 0</t>
  </si>
  <si>
    <t>1. Check denial code and balance on Partially Adjusted claims.</t>
  </si>
  <si>
    <t>No denial; Ins Bal &gt; 0; auto-fed.</t>
  </si>
  <si>
    <t>61 claims; 0 with denial; all Ins Bal &gt; 0; priority queue.</t>
  </si>
  <si>
    <t>TC-019</t>
  </si>
  <si>
    <t>§3.1, AT-6</t>
  </si>
  <si>
    <t>Patient AR: Pt Bal &gt; 0 and Ins Bal = 0; denials ignored</t>
  </si>
  <si>
    <t>1. Check all Patient AR claims.
2. Check no Pt-only-balance claim outside Patient AR.</t>
  </si>
  <si>
    <t>All Patient AR claims meet rule; none misplaced, even when a denial is present.</t>
  </si>
  <si>
    <t>11,349 claims, all Pt Bal &gt; 0 &amp; Ins Bal = 0; 0 misplaced. None of these claims carries a denial code in the claim data, so 'denial present' variant could not be exercised.</t>
  </si>
  <si>
    <t>OBS-05</t>
  </si>
  <si>
    <t>TC-020</t>
  </si>
  <si>
    <t>§3.1, Features #7, #8</t>
  </si>
  <si>
    <t>Workflow queues exist: CIP Pending, CIP Response Received, Re-Follow-Up (Unresolved / New Denials), Submitted for QA, QA Rejected, Completed, Auto Adjustments</t>
  </si>
  <si>
    <t>Queue taxonomy (queues API)</t>
  </si>
  <si>
    <t>1. Review queue list.</t>
  </si>
  <si>
    <t>All workflow queues and sub-queues defined.</t>
  </si>
  <si>
    <t>All present, incl. Re-Follow-Up → Unresolved Claims / New Denials and Auto Adjustments → System Auto-Adjusted / Approved Write-Offs – Pending Posting. Extra queues not in spec: 'Unbilled (Not Yet Billed)' (1,102) and 'Status Change Verification'.</t>
  </si>
  <si>
    <t>OBS-06</t>
  </si>
  <si>
    <t>TC-021</t>
  </si>
  <si>
    <t>§3.2</t>
  </si>
  <si>
    <t>Only unresolved claims in the 4 Possible Collectible queues auto-flow into the Work Queue for assignment</t>
  </si>
  <si>
    <t>Nav badge 'Denial &amp; AR Work Queue' = 9,054; Dashboard 'Claims Awaiting Assignment' = 83,986</t>
  </si>
  <si>
    <t>1. Reconcile unassigned counts by queue.
2. Compare with badge and dashboard KPI.</t>
  </si>
  <si>
    <t>Awaiting-assignment count = unassigned claims in Non-Responder, Denied PC, Partially Paid PC, Partially Adjusted only (7,193).</t>
  </si>
  <si>
    <t>Badge 9,054 = 7,193 PC + 759 Non-Collectible (751 Denied + 8 Partially Paid) + 1,102 Unbilled. Dashboard KPI 'Claims Awaiting Assignment' = 83,986 counts every unassigned claim, including 63,583 Closed and 11,349 Patient AR.</t>
  </si>
  <si>
    <t>DEF-05, DEF-06</t>
  </si>
  <si>
    <t>TC-022</t>
  </si>
  <si>
    <t>§3.2, Feature #2</t>
  </si>
  <si>
    <t>Non-Collectible list maintained in settings and drives the Denied &amp; Partially Paid splits</t>
  </si>
  <si>
    <t>Master Values &gt; Workbench Lists &gt; Non-Collectible Denial Codes</t>
  </si>
  <si>
    <t>1. Open list.
2. Compare with Denial Code Master 'Non-Collectible' flags.</t>
  </si>
  <si>
    <t>Single configurable NC list, stored without prefix, used by the queue engine.</t>
  </si>
  <si>
    <t>Workbench list (6 codes: 197, 242, 257, 288, 27, 31) is maintainable and used by the queue engine. However, Denial Code Master flags a DIFFERENT set of 8 NC codes (29, 119, 193, 197, 204, 242, 243, 279) with an 'Apply Non-Collectible codes' action — two conflicting sources.</t>
  </si>
  <si>
    <t>DEF-07</t>
  </si>
  <si>
    <t>TC-023</t>
  </si>
  <si>
    <t>§10 (Maintain NC &amp; Auto-Adjust lists)</t>
  </si>
  <si>
    <t>AR/RCM Manager can maintain NC and Auto-Adjust lists</t>
  </si>
  <si>
    <t>App navigation role config</t>
  </si>
  <si>
    <t>1. Inspect role access for Master Values.</t>
  </si>
  <si>
    <t>Sys Admin and AR/RCM Manager can maintain.</t>
  </si>
  <si>
    <t>Master Values (incl. Workbench Lists) is restricted to System Administrator only ('Administrators only'); RCM Manager has no access.</t>
  </si>
  <si>
    <t>DEF-08</t>
  </si>
  <si>
    <t>TC-024</t>
  </si>
  <si>
    <t>§3.2, AT-3</t>
  </si>
  <si>
    <t>Restricted (overall AR) queues visible only to Admin / Mgr / TL; they can pull any claim for special projects</t>
  </si>
  <si>
    <t>Admin session</t>
  </si>
  <si>
    <t>1. As Admin, view all queues and assign.
2. As Agent/QA, confirm restricted queues hidden.</t>
  </si>
  <si>
    <t>Admin/Mgr/TL see and assign from any queue; Agent/QA cannot see Closed / NC queues.</t>
  </si>
  <si>
    <t>Admin, RCM Manager and Team Lead see and assign from all queues (TL: 84,074 claims incl. 749 NC / 21,090 Closed-Adjusted). AR Agent restricted server-side to own claims. QA Reviewer: Work Queue page blocked, but claims API returns all 84,074 claims incl. restricted queues.</t>
  </si>
  <si>
    <t>TC-025</t>
  </si>
  <si>
    <t>QA Rejected claims auto-assigned to the agent who worked them</t>
  </si>
  <si>
    <t>Claim 19091270</t>
  </si>
  <si>
    <t>1. Open claim timeline and assignment fields.</t>
  </si>
  <si>
    <t>Rejected claim assigned back to the submitting agent.</t>
  </si>
  <si>
    <t>Submitted by ARAgent1, rejected by QA1 (Financial Update Error); AssignedAgentUser = ARAgent1. Note: work-queue API returns AssignedAgentName = null for this claim.</t>
  </si>
  <si>
    <t>OBS-07</t>
  </si>
  <si>
    <t>TC-026</t>
  </si>
  <si>
    <t>§3.2 (To confirm)</t>
  </si>
  <si>
    <t>Low</t>
  </si>
  <si>
    <t>Evaluation precedence when a claim meets more than one rule</t>
  </si>
  <si>
    <t>All claims</t>
  </si>
  <si>
    <t>1. Check for claims meeting multiple rules.</t>
  </si>
  <si>
    <t>Deterministic precedence (recommended Closed → Patient AR → Denied → Partially Paid → Partially Adjusted → Non-Responder).</t>
  </si>
  <si>
    <t>No claim found in more than one queue; precedence behaviour consistent with recommended order in observed data. Formal precedence still an open item (#4).</t>
  </si>
  <si>
    <t>TC-027</t>
  </si>
  <si>
    <t>§4.1</t>
  </si>
  <si>
    <t>Primary denial = curated 'Denial Code' column (interim)</t>
  </si>
  <si>
    <t>Settings API</t>
  </si>
  <si>
    <t>1. Read settings PrimaryDenialSource / FallbackToLine.</t>
  </si>
  <si>
    <t>Curated column used; no line-level fallback.</t>
  </si>
  <si>
    <t>PrimaryDenialSource = CuratedColumn; PrimaryDenialFallbackToLine = 0.</t>
  </si>
  <si>
    <t>TC-028</t>
  </si>
  <si>
    <t>§4.1, Feature #15</t>
  </si>
  <si>
    <t>Denial-hierarchy ranking table to derive primary denial (terminal codes override)</t>
  </si>
  <si>
    <t>—</t>
  </si>
  <si>
    <t>Configurable ranking table; e.g., 204/197 override other codes.</t>
  </si>
  <si>
    <t>Phase 2 — awaiting mapping from business owner. Not tested.</t>
  </si>
  <si>
    <t>TC-029</t>
  </si>
  <si>
    <t>§4.2, AT-4, Feature #5</t>
  </si>
  <si>
    <t>CARC group prefix (CO/PR/PI/OA) stripped for mapping</t>
  </si>
  <si>
    <t>PR204 (25 claims), CO204 (13 claims); PRA1, PIB11</t>
  </si>
  <si>
    <t>1. Compare category for prefixed variants of the same code.</t>
  </si>
  <si>
    <t>PR 204 and CO 204 both map to 204 and the same category.</t>
  </si>
  <si>
    <t>PR204 and CO204 both → 204 → Medical Necessity. PRA1→A1, PIB11→B11, COB12→B12 normalised correctly. 'CR96' (CR group) is not stripped and lands in Unmapped/'Other' while CO/PR/PI96 map to Medical Necessity.</t>
  </si>
  <si>
    <t>OBS-08</t>
  </si>
  <si>
    <t>TC-030</t>
  </si>
  <si>
    <t>§4.2, AT-5</t>
  </si>
  <si>
    <t>RARC codes keep their letter (e.g., N57, M127, MA130)</t>
  </si>
  <si>
    <t>Claim data and Denial Code Master</t>
  </si>
  <si>
    <t>1. Search for N57 / RARC codes.</t>
  </si>
  <si>
    <t>Stored and mapped as N57 (letter retained).</t>
  </si>
  <si>
    <t>No N57 / M127 / MA130 in claim data or Denial Code Master. Only RARC-style code found, N857 (4 claims), is retained as 'N857' but is unmapped. Test data needed.</t>
  </si>
  <si>
    <t>Test data</t>
  </si>
  <si>
    <t>TC-031</t>
  </si>
  <si>
    <t>§4.3</t>
  </si>
  <si>
    <t>Denial categorization for all denial codes loaded into the Denial-Action master</t>
  </si>
  <si>
    <t>Workbench Category Map / Unmapped Codes</t>
  </si>
  <si>
    <t>1. Review category map coverage.
2. Review Unmapped Codes.</t>
  </si>
  <si>
    <t>Every primary denial code on synced claims has a category.</t>
  </si>
  <si>
    <t>Only 36 codes mapped; 50 primary codes unmapped (incl. 216 – 1,708 claims / $594,638.84; A1 – 222 claims). 2,534 of 5,280 denied claims (48%) fall to 'Other'. Depends on open item #2 (categorization from business owner).</t>
  </si>
  <si>
    <t>DEF-09</t>
  </si>
  <si>
    <t>TC-032</t>
  </si>
  <si>
    <t>§4.2</t>
  </si>
  <si>
    <t>Line-level display keeps original prefix but is not used for mapping</t>
  </si>
  <si>
    <t>Claim 19448764</t>
  </si>
  <si>
    <t>1. View line-level denials.</t>
  </si>
  <si>
    <t>Prefixed value shown; mapping uses stripped code.</t>
  </si>
  <si>
    <t>Lines show CO11 / CO252; claim maps on stripped 11.</t>
  </si>
  <si>
    <t>TC-033</t>
  </si>
  <si>
    <t>§5, AT-10</t>
  </si>
  <si>
    <t>Assigned, not-yet-worked claim whose denial changes: update silently; if new primary is NC, auto-process and remove from agent queue</t>
  </si>
  <si>
    <t>Requires a sync with changed denial data</t>
  </si>
  <si>
    <t>1. Assign claim.
2. Load sync file with new (NC) denial.
3. Check agent queue.</t>
  </si>
  <si>
    <t>Denial updated without reassignment; NC claim auto-processed and removed.</t>
  </si>
  <si>
    <t>Not executed — needs a controlled re-sync. App has a 'Status Change Verification' queue for claim-STATUS changes on assigned claims (not in spec).</t>
  </si>
  <si>
    <t>TC-034</t>
  </si>
  <si>
    <t>§5, AT-9, Feature #7</t>
  </si>
  <si>
    <t>Worked claim (QA/Completed/QA Rejected) receives a new denial → after QA completes, moves to Re-Follow-Up – New Denials, unassigned, history intact</t>
  </si>
  <si>
    <t>Requires a sync with a new denial on a completed claim</t>
  </si>
  <si>
    <t>1. Complete claim.
2. Re-sync with new denial.</t>
  </si>
  <si>
    <t>Claim in Re-Follow-Up – New Denials, unassigned, full history.</t>
  </si>
  <si>
    <t>Queue exists (0 claims). Not executed — needs controlled re-sync.</t>
  </si>
  <si>
    <t>TC-035</t>
  </si>
  <si>
    <t>§5, §3.1</t>
  </si>
  <si>
    <t>Followed-up claim with no reply/action for 45 days → Re-Follow-Up – Unresolved Claims</t>
  </si>
  <si>
    <t>RefollowupDays = 45</t>
  </si>
  <si>
    <t>1. Identify claims with last touch ≥ 45 days.</t>
  </si>
  <si>
    <t>Claims ≥ 45 days since last touch appear in Unresolved queue.</t>
  </si>
  <si>
    <t>Setting = 45. Earliest follow-up in system is Oct 07, 2026, so no claim qualifies yet. Assignment page separately lists '6,066 claims untouched for 45+ days' — these are never-worked claims, which by spec are not Re-Follow-Up.</t>
  </si>
  <si>
    <t>OBS-09</t>
  </si>
  <si>
    <t>TC-036</t>
  </si>
  <si>
    <t>§5, §6, AT-12, Feature #9</t>
  </si>
  <si>
    <t>Auto-adjusted / approved write-off claim still open on next sync → flagged, returned to Auto Adjustments, agent &amp; manager notified</t>
  </si>
  <si>
    <t>Requires processed auto-adjustment + re-sync</t>
  </si>
  <si>
    <t>1. Process auto adjustment.
2. Re-sync with claim still open.</t>
  </si>
  <si>
    <t>Flag + return + notification.</t>
  </si>
  <si>
    <t>Setup done: 19510788 auto-adjusted and intentionally left NOT posted for the next sync. Re-sync verification pending (next weekly sync).</t>
  </si>
  <si>
    <t>Next sync</t>
  </si>
  <si>
    <t>TC-037</t>
  </si>
  <si>
    <t>§5</t>
  </si>
  <si>
    <t>Claim that now meets closed criteria moves to the relevant Closed queue</t>
  </si>
  <si>
    <t>Claims 19448701, 19446019, 19445909, 19454954, 19449830, 19449723, 19449752</t>
  </si>
  <si>
    <t>1. Check workflow status of Closed claims.</t>
  </si>
  <si>
    <t>Claim in Closed queue; recovered amount recognised.</t>
  </si>
  <si>
    <t>Closed placement correct. 7 Closed claims remain 'Assigned' to agents — acceptable only if intentionally assigned for a special project; confirm.</t>
  </si>
  <si>
    <t>OBS-10</t>
  </si>
  <si>
    <t>TC-038</t>
  </si>
  <si>
    <t>§6</t>
  </si>
  <si>
    <t>Auto-Adjust code list is configurable</t>
  </si>
  <si>
    <t>Workbench Lists &gt; Auto-Adjust Denial Codes</t>
  </si>
  <si>
    <t>1. Open list.</t>
  </si>
  <si>
    <t>List maintainable; seeded with 242, 197.</t>
  </si>
  <si>
    <t>2 active codes: 242, 197; add/deactivate available (admin).</t>
  </si>
  <si>
    <t>TC-039</t>
  </si>
  <si>
    <t>§6, Feature #8</t>
  </si>
  <si>
    <t>Process Auto Adjustment: adds system comment, nullifies balance, moves claims to Auto Adjustments queue</t>
  </si>
  <si>
    <t>Work Queue &gt; Process Automatic Adjustments</t>
  </si>
  <si>
    <t>1. Run preview / process on matching claims.</t>
  </si>
  <si>
    <t>Claims moved to Auto Adjustments (not Completed) with system comment and $0 balance.</t>
  </si>
  <si>
    <t>Admin selected 19122637 (CO197) → preview '1 non-collectible denial totaling $60.90' → processed; 19510788 (PR242) processed ($228.86). Both moved to Auto Adjustments › System Auto-Adjusted with system comment 'insurance balance … adjusted automatically for denial 197'; RemainingAR = 0, Recovery Status 'No Recovery'. InsuranceBalance field still shows $60.90.</t>
  </si>
  <si>
    <t>DEF-20</t>
  </si>
  <si>
    <t>TC-040</t>
  </si>
  <si>
    <t>§6, §10</t>
  </si>
  <si>
    <t>Admin / Mgr / TL can export the Auto Adjustments queue as a report for bulk PMS posting</t>
  </si>
  <si>
    <t>Work Queue export</t>
  </si>
  <si>
    <t>1. Filter AR Queue = Auto Adjustments.
2. Export.</t>
  </si>
  <si>
    <t>Dedicated export of Auto Adjustments queue.</t>
  </si>
  <si>
    <t>Work Queue AR Queue filter offers 'Auto Adjustments · System Auto-Adjusted' (2 claims); Export Filtered returns .xlsx (Admin 9,840 B; Team Lead 200 OK). No dedicated PMS-format report, but export is functional for Admin/TL.</t>
  </si>
  <si>
    <t>OBS-11</t>
  </si>
  <si>
    <t>TC-041</t>
  </si>
  <si>
    <t>§7, Feature #6</t>
  </si>
  <si>
    <t>'Expected Payment' renamed to 'Revenue Expectation' everywhere</t>
  </si>
  <si>
    <t>Claim detail; Work Queue grid</t>
  </si>
  <si>
    <t>1. Open claim detail.
2. Open Work Queue columns.</t>
  </si>
  <si>
    <t>Label reads 'Revenue Expectation' in all views.</t>
  </si>
  <si>
    <t>Claim detail shows 'Revenue Expectation'. Work Queue grid column still titled 'EXPECTED PAYMENT'.</t>
  </si>
  <si>
    <t>DEF-10</t>
  </si>
  <si>
    <t>TC-042</t>
  </si>
  <si>
    <t>§7</t>
  </si>
  <si>
    <t>Revenue Expectation = Medicare-rate allowable across billed CPTs (0 if no rate)</t>
  </si>
  <si>
    <t>1. Check RevenueExpectation values.
2. Compare with dashboard 'revenue expectation by AR queue'.</t>
  </si>
  <si>
    <t>Calculated from fee schedule for each claim.</t>
  </si>
  <si>
    <t>RevenueExpectation = $0.00 on all 84,074 claims ('no fee-schedule rate loaded'). Dashboard 'AR Collections Progress – revenue expectation' instead shows $3,320,502.46 (= Initial Insurance AR). Rate source is open item #5.</t>
  </si>
  <si>
    <t>DEF-11</t>
  </si>
  <si>
    <t>TC-043</t>
  </si>
  <si>
    <t>§7, AT-8</t>
  </si>
  <si>
    <t>Potential Recovery = Revenue Expectation − (Ins Paid + Pt Paid + Pt Bal), floor 0</t>
  </si>
  <si>
    <t>AT-8 case: RevExp $353, Ins paid $120, Pt bal $30</t>
  </si>
  <si>
    <t>1. Locate claim matching case.
2. Check Potential Recovery.</t>
  </si>
  <si>
    <t>Potential Recovery $203.</t>
  </si>
  <si>
    <t>Cannot be exercised — Revenue Expectation is $0 on every claim, so Potential Recovery is $0 (dashboard Potential Recovery Amount $0.00).</t>
  </si>
  <si>
    <t>TC-044</t>
  </si>
  <si>
    <t>Recovery Status: In Progress / Partially Recovered / Fully Recovered / No Recovery</t>
  </si>
  <si>
    <t>Claim 19448764 (all payments 0)</t>
  </si>
  <si>
    <t>1. Open claim Overview.</t>
  </si>
  <si>
    <t>In Progress when Ins paid, Pt paid and Pt bal are all 0.</t>
  </si>
  <si>
    <t>Shows 'In Progress' (correct). Partially / Fully Recovered not verifiable while Revenue Expectation = 0. 'No Recovery' definition still open (#6).</t>
  </si>
  <si>
    <t>TC-045</t>
  </si>
  <si>
    <t>Recovered Amount = insurance payments dated after denial date; adjustments excluded</t>
  </si>
  <si>
    <t>Recovery &amp; Financial Analytics</t>
  </si>
  <si>
    <t>1. Read metric definition and totals.</t>
  </si>
  <si>
    <t>Payments only, after denial date.</t>
  </si>
  <si>
    <t>Analytics definition: 'Recovered is additional payments AND adjustments booked since intake' — adjustments included, basis is intake not denial date. Total Recovered $4,848.94.</t>
  </si>
  <si>
    <t>DEF-12</t>
  </si>
  <si>
    <t>TC-046</t>
  </si>
  <si>
    <t>§8.1</t>
  </si>
  <si>
    <t>Follow-up notes captured at claim level only (no CPT-level notes)</t>
  </si>
  <si>
    <t>Claim 19448764 &gt; Log Follow-Up Note</t>
  </si>
  <si>
    <t>1. Open note form.</t>
  </si>
  <si>
    <t>Claim-level note only.</t>
  </si>
  <si>
    <t>Form is claim-level; no CPT selector.</t>
  </si>
  <si>
    <t>TC-047</t>
  </si>
  <si>
    <t>§8.1, AT-15</t>
  </si>
  <si>
    <t>Next Follow-Up Date defaults to today + 45 calendar days</t>
  </si>
  <si>
    <t>Test date Oct 15, 2026</t>
  </si>
  <si>
    <t>1. Open Log Follow-Up Note.
2. Read default date.</t>
  </si>
  <si>
    <t>Default = Nov 29, 2026.</t>
  </si>
  <si>
    <t>Default = 2026-11-29 (setting NextFollowUpDefaultDays = 45). Earlier dates allowed (min = today); later dates NOT blocked (open item #8). Existing notes show agents set 19–31-day dates.</t>
  </si>
  <si>
    <t>OBS-12</t>
  </si>
  <si>
    <t>TC-048</t>
  </si>
  <si>
    <t>§8.2, Feature #11</t>
  </si>
  <si>
    <t>Attachments available on follow-up notes for ALL actions</t>
  </si>
  <si>
    <t>Log Follow-Up Note form</t>
  </si>
  <si>
    <t>1. Open form for each Claim Status / Fix-Resolution.
2. Look for file upload.</t>
  </si>
  <si>
    <t>Upload control on every follow-up note.</t>
  </si>
  <si>
    <t>No file-upload control in the follow-up form for any status/resolution. Attachments exist only on the client's CIP response (max 3 files).</t>
  </si>
  <si>
    <t>DEF-13</t>
  </si>
  <si>
    <t>TC-049</t>
  </si>
  <si>
    <t>§8.2</t>
  </si>
  <si>
    <t>Each upload requires a document category</t>
  </si>
  <si>
    <t>Document Categories list (6)</t>
  </si>
  <si>
    <t>1. Attempt upload.</t>
  </si>
  <si>
    <t>Category mandatory (Appeal, EOB, Medical Record, Payer Correspondence, CIP Response, Other).</t>
  </si>
  <si>
    <t>Category list is configured, but no upload UI uses it (client CIP upload has no category).</t>
  </si>
  <si>
    <t>TC-050</t>
  </si>
  <si>
    <t>Document Vault: search documents by claim/visit, patient and category</t>
  </si>
  <si>
    <t>Navigation</t>
  </si>
  <si>
    <t>1. Look for Document Vault.</t>
  </si>
  <si>
    <t>Document Vault screen available.</t>
  </si>
  <si>
    <t>No Document Vault screen or route in the application.</t>
  </si>
  <si>
    <t>DEF-14</t>
  </si>
  <si>
    <t>TC-051</t>
  </si>
  <si>
    <t>Files stored in Azure Blob with HIPAA controls (encryption at rest, private access, RBAC, audit logging)</t>
  </si>
  <si>
    <t>Setting DocumentBlobContainer = arwb-documents</t>
  </si>
  <si>
    <t>1. Infrastructure review.</t>
  </si>
  <si>
    <t>Blob storage with HIPAA controls.</t>
  </si>
  <si>
    <t>Container setting present; storage controls require Azure/infra review — not testable from the UI.</t>
  </si>
  <si>
    <t>Infra review</t>
  </si>
  <si>
    <t>TC-052</t>
  </si>
  <si>
    <t>§8.2, AT-16</t>
  </si>
  <si>
    <t>Uploading a 20 MB file is rejected with a size-limit message</t>
  </si>
  <si>
    <t>AttachmentMaxBytes = 15,728,640 (15 MB)</t>
  </si>
  <si>
    <t>1. Upload 20 MB file.</t>
  </si>
  <si>
    <t>Rejected with size-limit message.</t>
  </si>
  <si>
    <t>Client response upload: 16 MB PDF rejected client-side with 'UAT_big_16MB.pdf is larger than 15 MB.'; picker limited to allowed types. Not available on internal follow-ups (DEF-13).</t>
  </si>
  <si>
    <t>TC-053</t>
  </si>
  <si>
    <t>§8.3, Feature #10</t>
  </si>
  <si>
    <t>Agent selects Write-Off → claim goes to Submitted for QA</t>
  </si>
  <si>
    <t>Log Follow-Up Note: Claim Status = Denied</t>
  </si>
  <si>
    <t>1. Select Write Off.
2. Save.</t>
  </si>
  <si>
    <t>Claim routed to QA as a write-off.</t>
  </si>
  <si>
    <t>ARAgent1 logged 'Write Off' on 19521528 → 'Submitted for QA' (QA KPI 'Write-offs pending review' = 1).</t>
  </si>
  <si>
    <t>TC-054</t>
  </si>
  <si>
    <t>§8.3, AT-11</t>
  </si>
  <si>
    <t>QA approves write-off → claim in 'Approved Write-Offs – Pending Posting' in agent's queue with notification; agent marks posted</t>
  </si>
  <si>
    <t>Requires write-off submission</t>
  </si>
  <si>
    <t>1. QA approve.
2. Check agent queue + notification.
3. Mark as Posted.</t>
  </si>
  <si>
    <t>Pending-posting list + notification 'Write-off approved — perform the write-off in the PMS.'</t>
  </si>
  <si>
    <t>QA1 approved → claim moved to Auto Adjustments › Approved Write-Offs – Pending Posting; ARAgent1 received notification 'Write-off approved for claim 19521528. Post it in the PMS, then Mark as Posted.' and claim shows in My Work. Agent CANNOT Mark as Posted (no control; API 403 'Only a System Administrator, RCM Manager or Team Lead can assign claims'). TeamLead marked it posted → Closed – Fully Adjusted.</t>
  </si>
  <si>
    <t>DEF-17</t>
  </si>
  <si>
    <t>TC-055</t>
  </si>
  <si>
    <t>§8.4, Feature #12</t>
  </si>
  <si>
    <t>Escalate to Supervisor with mandatory reason category; routed to TL and AR Manager</t>
  </si>
  <si>
    <t>Escalation Reasons (6)</t>
  </si>
  <si>
    <t>1. As agent, escalate.
2. Check Escalation &amp; Reassignment Requests.</t>
  </si>
  <si>
    <t>Mandatory reason dropdown + free text; visible to TL and Mgr.</t>
  </si>
  <si>
    <t>ARAgent1 escalated 19404713: save blocked until reason chosen ('Choose a reason.'); reason 'Payer portal access required' + note. Appeared in Escalation &amp; Reassignment Requests; TeamLead responded and resolved (note required).</t>
  </si>
  <si>
    <t>TC-056</t>
  </si>
  <si>
    <t>Request Reassignment with mandatory reason category</t>
  </si>
  <si>
    <t>Reassignment Reasons (5)</t>
  </si>
  <si>
    <t>1. As agent, request reassignment.</t>
  </si>
  <si>
    <t>Mandatory reason dropdown + free text.</t>
  </si>
  <si>
    <t>ARAgent1 requested reassignment on 19465060 with reason 'Payer call outside my shift'. TeamLead used 'Reassign &amp; Resolve' → ARAgent3; request auto-resolved; audit shows both events.</t>
  </si>
  <si>
    <t>TC-057</t>
  </si>
  <si>
    <t>§8.5, Feature #13</t>
  </si>
  <si>
    <t>Due Date on batch assignment is optional</t>
  </si>
  <si>
    <t>Assignment Management &gt; Create Assignment Batch</t>
  </si>
  <si>
    <t>1. Review batch form.
2. Review existing batch.</t>
  </si>
  <si>
    <t>Due Date optional; applies to every claim in batch.</t>
  </si>
  <si>
    <t>Due Date field optional; BATCH-0001 (11 claims) carries due date Oct 23, 2026.</t>
  </si>
  <si>
    <t>TC-058</t>
  </si>
  <si>
    <t>§9.1</t>
  </si>
  <si>
    <t>Selecting CIP requires internal Follow-Up Comment + client-facing CIP Comment; CIP box only when CIP selected</t>
  </si>
  <si>
    <t>Log Follow-Up Note; Fix/Resolution = CIP - Client Escalations</t>
  </si>
  <si>
    <t>1. Toggle resolution between CIP / non-CIP.</t>
  </si>
  <si>
    <t>CIP Comment appears only for CIP and is mandatory.</t>
  </si>
  <si>
    <t>CIP Category*, Required Information* and CIP Comment* appear only when CIP is selected; hidden for Write Off and other resolutions.</t>
  </si>
  <si>
    <t>TC-059</t>
  </si>
  <si>
    <t>CIP note goes to Submitted for QA; QA by QA Reviewer / TL / RCM Mgr</t>
  </si>
  <si>
    <t>Claim 18955927</t>
  </si>
  <si>
    <t>1. Review activity timeline.</t>
  </si>
  <si>
    <t>Routed to QA; after QA approval enters CIP Pending Approval.</t>
  </si>
  <si>
    <t>Timeline: routed to QA → 'QA approved the CIP note: the escalation moves to Pending Approval'.</t>
  </si>
  <si>
    <t>TC-060</t>
  </si>
  <si>
    <t>CIP Escalations – Pending Approval accessible only to TL, RCM Mgr, Admin; individual or bulk approval</t>
  </si>
  <si>
    <t>CIP Escalations screen</t>
  </si>
  <si>
    <t>1. Open screen.
2. Check roles and bulk actions.</t>
  </si>
  <si>
    <t>Second approval layer with bulk approve.</t>
  </si>
  <si>
    <t>Screen roles = admin, manager, lead; 1 case Pending Approval; 'Bulk Approve Selected' and 'Bulk Reject / Send Back Selected' available.</t>
  </si>
  <si>
    <t>TC-061</t>
  </si>
  <si>
    <t>Approved CIPs appear in client's Escalation Requests tab</t>
  </si>
  <si>
    <t>Requires approval + client login</t>
  </si>
  <si>
    <t>1. Approve CIP.
2. Log in as client.</t>
  </si>
  <si>
    <t>CIP visible to scoped client user.</t>
  </si>
  <si>
    <t>TeamLead bulk-approved CIP-000002 and CIP-000003 ('2 sent to the client'). Both visible to AccountManager (Client Viewer) in Escalation Requests; CIP-000002 visible to Insight Family Practice Clinic Viewer. CIP-000001 (still Pending Approval) hidden from clients.</t>
  </si>
  <si>
    <t>TC-062</t>
  </si>
  <si>
    <t>§9.1, AT-13</t>
  </si>
  <si>
    <t>Client responds (with attachments) → Client Responded; manager re-escalates or approves → claim returns to original agent</t>
  </si>
  <si>
    <t>Requires client response</t>
  </si>
  <si>
    <t>1. Client responds.
2. Manager approves.</t>
  </si>
  <si>
    <t>Claim auto-returns to original agent.</t>
  </si>
  <si>
    <t>AccountManager responded to CIP-000002 with PDF (text mandatory). RCMManager reviewed (response + attachment visible), marked 'Insufficient — Re-send to Client' (reason mandatory) → Round 2 shown to client with feedback. Client responded again with 2nd PDF. RCMManager 'Approve &amp; Return to Agent' → claim back to ARAgent1 (Assigned), both attachments retained by round.</t>
  </si>
  <si>
    <t>DEF-19</t>
  </si>
  <si>
    <t>TC-063</t>
  </si>
  <si>
    <t>§9.2</t>
  </si>
  <si>
    <t>Internal follow-up comments and client-facing CIP comments stored and displayed separately; client never sees internal notes</t>
  </si>
  <si>
    <t>1. Review stored fields.
2. View as client.</t>
  </si>
  <si>
    <t>Separate storage; client sees only CIP comment + response.</t>
  </si>
  <si>
    <t>Stored separately (followUpComment vs cipComment); escalation screens show only the CIP comment. However, Clinic Viewer and Client Viewer can open #/claims/30117 directly: Follow-Ups, Activity Timeline and QA Review tabs show 'UAT-C4 internal…' agent note and QA notes; claim API returns the same.</t>
  </si>
  <si>
    <t>DEF-15</t>
  </si>
  <si>
    <t>TC-064</t>
  </si>
  <si>
    <t>§10</t>
  </si>
  <si>
    <t>Navigation/permissions match the role matrix</t>
  </si>
  <si>
    <t>App role configuration</t>
  </si>
  <si>
    <t>1. Compare each screen's roles with §10 matrix.</t>
  </si>
  <si>
    <t>Matches matrix.</t>
  </si>
  <si>
    <t>Verified per role login: Agent (Dashboard, Work Queue, My Work, Follow-Up, Analytics, Reports); QA (Dashboard, QA, Analytics, Reports); TL (+Assignment, CIP, Requests; no Data Processing/Audit/Masters); RCM Mgr (+Data Processing, Status Verification, Audit; no Masters); Client/Clinic Viewer (Dashboard, Escalation Requests, Analytics, Reports). Deviations: Masters admin-only (DEF-08); Agent can't mark write-off posted (DEF-17); QA API data exposure (DEF-16); Analytics/Reports open to Agent/QA (OBS-13).</t>
  </si>
  <si>
    <t>DEF-08, DEF-16, DEF-17</t>
  </si>
  <si>
    <t>TC-065</t>
  </si>
  <si>
    <t>§10.1, Feature #14</t>
  </si>
  <si>
    <t>Admin creates client users scoped Lab → Clinic with cascading selection</t>
  </si>
  <si>
    <t>User Management &gt; Add User</t>
  </si>
  <si>
    <t>1. Choose role Clinic Viewer.
2. Select lab.</t>
  </si>
  <si>
    <t>Selecting a lab loads only that lab's clinics.</t>
  </si>
  <si>
    <t>Roles Client / Clinic / Provider Viewer available; selecting InHealth loads '115 clinics on this lab's claims' for per-lab clinic choice. User not created.</t>
  </si>
  <si>
    <t>TC-066</t>
  </si>
  <si>
    <t>§10.1, AT-14</t>
  </si>
  <si>
    <t>Clinic-scoped user sees only that clinic's data and CIPs; never internal notes</t>
  </si>
  <si>
    <t>Requires Clinic Viewer login</t>
  </si>
  <si>
    <t>1. Log in as clinic user.</t>
  </si>
  <si>
    <t>Only Clinic A data / CIPs.</t>
  </si>
  <si>
    <t>Clinic Viewer (Insight Family Practice): escalation list shows only CIP-000002 (not 19490126 / Spark to Recovery); claims, dashboard and queues scoped to 7,300 claims all of this clinic; other-clinic claim → 404. BUT internal notes visible on claim page via direct URL.</t>
  </si>
  <si>
    <t>TC-067</t>
  </si>
  <si>
    <t>§10.1</t>
  </si>
  <si>
    <t>CIP escalations for a clinic routed to that clinic's scoped user(s)</t>
  </si>
  <si>
    <t>1. Approve CIP for a clinic.
2. Check scoped user.</t>
  </si>
  <si>
    <t>Routed to scoped user.</t>
  </si>
  <si>
    <t>CIP-000002 routed to the Insight Family Practice Clinic Viewer (visible), but Clinic Viewer is read-only ('the client contact responds') — no Respond action. Only the lab-level Client Viewer could respond.</t>
  </si>
  <si>
    <t>DEF-18</t>
  </si>
  <si>
    <t>TC-068</t>
  </si>
  <si>
    <t>Project instructions</t>
  </si>
  <si>
    <t>AR users can export claims to Excel and update status via Excel upload</t>
  </si>
  <si>
    <t>Work Queue toolbar</t>
  </si>
  <si>
    <t>1. Review export / bulk update options.</t>
  </si>
  <si>
    <t>Export and bulk update available.</t>
  </si>
  <si>
    <t>Export Filtered / Export All / Bulk Update (Excel) present for Admin, TL, Agent; Auto-Adjust export verified (.xlsx). Client Viewer has no claim export (Work Queue blocked) — requirement says client can export line items. Bulk upload not executed.</t>
  </si>
  <si>
    <t>OBS-14</t>
  </si>
  <si>
    <t>Step ID</t>
  </si>
  <si>
    <t>Login</t>
  </si>
  <si>
    <t>Scenario / Requirement</t>
  </si>
  <si>
    <t>Claim(s)</t>
  </si>
  <si>
    <t>Action Performed</t>
  </si>
  <si>
    <t>Defect Ref</t>
  </si>
  <si>
    <t>RW-01</t>
  </si>
  <si>
    <t>ARWBInhealthSA</t>
  </si>
  <si>
    <t>Assign claims with optional due date (§8.5)</t>
  </si>
  <si>
    <t>19538684 + 6 others</t>
  </si>
  <si>
    <t>Work Queue › search › select › Assign Selected → ARAgent1, due 20-Oct, note</t>
  </si>
  <si>
    <t>Claims assigned; due date optional</t>
  </si>
  <si>
    <t>'1 assigned — ARAgent1.'; other 6 assigned via same service; status Assigned</t>
  </si>
  <si>
    <t>RW-02</t>
  </si>
  <si>
    <t>Process Automatic Adjustment on selected claims (§6)</t>
  </si>
  <si>
    <t>19122637, 19510788</t>
  </si>
  <si>
    <t>Select claim › Process Automatic Adjustments › confirm</t>
  </si>
  <si>
    <t>Only selected claims adjusted; moved to Auto Adjustments with system comment</t>
  </si>
  <si>
    <t>Preview showed only the selected claim ($60.90); processed → Auto Adjustments › System Auto-Adjusted; system comment added; RemainingAR 0; InsuranceBalance field unchanged</t>
  </si>
  <si>
    <t>RW-03</t>
  </si>
  <si>
    <t>Export Auto Adjustments queue (§6)</t>
  </si>
  <si>
    <t>AR Queue filter = Auto Adjustments › Export Filtered</t>
  </si>
  <si>
    <t>Excel report of the queue</t>
  </si>
  <si>
    <t>2 claims listed; .xlsx returned</t>
  </si>
  <si>
    <t>RW-04</t>
  </si>
  <si>
    <t>ARAgent1</t>
  </si>
  <si>
    <t>Agent sees only own work; restricted queues hidden (§3.2, §10)</t>
  </si>
  <si>
    <t>Open Work Queue; probe NC/Closed queues, other claim, assign &amp; QA endpoints</t>
  </si>
  <si>
    <t>Own claims only; no assign/QA</t>
  </si>
  <si>
    <t>18 own claims; NC/Closed = 0; other claim 404; assign 403; QA 403; no Assign / Auto-Adjust buttons</t>
  </si>
  <si>
    <t>RW-05</t>
  </si>
  <si>
    <t>Log follow-up → Submitted for QA (§8.1)</t>
  </si>
  <si>
    <t>19144266</t>
  </si>
  <si>
    <t>Claim Status Denied, Fix 'Appealed', comment; default next date</t>
  </si>
  <si>
    <t>Routed to QA; next date = today + 45</t>
  </si>
  <si>
    <t>'sent to the QA Verification Queue'; Next follow-up 29-Nov-2026</t>
  </si>
  <si>
    <t>RW-06</t>
  </si>
  <si>
    <t>Write-off submission (§8.3)</t>
  </si>
  <si>
    <t>19521528</t>
  </si>
  <si>
    <t>Fix 'Write Off' › Save</t>
  </si>
  <si>
    <t>Submitted for QA as write-off</t>
  </si>
  <si>
    <t>Submitted for QA; QA KPI 'Write-offs pending review' = 1</t>
  </si>
  <si>
    <t>RW-07</t>
  </si>
  <si>
    <t>CIP escalation with mandatory CIP comment (§9.1)</t>
  </si>
  <si>
    <t>19524452, 19490126</t>
  </si>
  <si>
    <t>Fix 'CIP - Client Escalations'; save without CIP comment, then with</t>
  </si>
  <si>
    <t>Blocked without CIP comment; then routed to QA</t>
  </si>
  <si>
    <t>'Add the CIP comment the client will see.'; after entry → Submitted for QA</t>
  </si>
  <si>
    <t>RW-08</t>
  </si>
  <si>
    <t>Escalate to Supervisor with mandatory reason (§8.4)</t>
  </si>
  <si>
    <t>19404713</t>
  </si>
  <si>
    <t>Escalate without reason, then with 'Payer portal access required'</t>
  </si>
  <si>
    <t>Reason mandatory; request raised</t>
  </si>
  <si>
    <t>'Choose a reason.'; then 'escalated to a supervisor'</t>
  </si>
  <si>
    <t>RW-09</t>
  </si>
  <si>
    <t>Request Reassignment with reason (§8.4)</t>
  </si>
  <si>
    <t>19465060</t>
  </si>
  <si>
    <t>Reason 'Payer call outside my shift' + note</t>
  </si>
  <si>
    <t>Request raised; claim stays with agent</t>
  </si>
  <si>
    <t>'Reassignment requested… stays with you until a lead reassigns it.'</t>
  </si>
  <si>
    <t>RW-10</t>
  </si>
  <si>
    <t>QA1</t>
  </si>
  <si>
    <t>QA reject → back to same agent (§3.2)</t>
  </si>
  <si>
    <t>19538684</t>
  </si>
  <si>
    <t>Reject: Error Type 'Incomplete Documentation', scoring, note</t>
  </si>
  <si>
    <t>QA Rejected, assigned to ARAgent1</t>
  </si>
  <si>
    <t>'returned to the same agent under QA Rejected'; AssignedAgent ARAgent1</t>
  </si>
  <si>
    <t>RW-11</t>
  </si>
  <si>
    <t>QA approve normal / write-off / CIP (§8.3, §9.1)</t>
  </si>
  <si>
    <t>19144266, 19521528, 19524452, 19490126</t>
  </si>
  <si>
    <t>Approve each</t>
  </si>
  <si>
    <t>Completed / Approved Write-Offs Pending Posting / CIP Pending Approval</t>
  </si>
  <si>
    <t>19144266 Completed; 19521528 → Approved Write-Offs – Pending Posting; both CIPs → Pending Approval</t>
  </si>
  <si>
    <t>RW-12</t>
  </si>
  <si>
    <t>QA role limits (§10)</t>
  </si>
  <si>
    <t>Open Work Queue page; probe assign/CIP/masters/claims APIs</t>
  </si>
  <si>
    <t>No work-queue / restricted data</t>
  </si>
  <si>
    <t>UI: 'cannot open Work Queue'; assign/CIP/masters 403; BUT claims API returns 84,074 incl. 749 NC</t>
  </si>
  <si>
    <t>RW-13</t>
  </si>
  <si>
    <t>Write-off approval notification &amp; posting (§8.3, AT-11)</t>
  </si>
  <si>
    <t>Check notifications/My Work; try Mark as Posted</t>
  </si>
  <si>
    <t>Notification + pending-posting item; agent marks posted</t>
  </si>
  <si>
    <t>Notification received; item in My Work; Mark as Posted not available (403)</t>
  </si>
  <si>
    <t>RW-14</t>
  </si>
  <si>
    <t>Rework QA-rejected claim</t>
  </si>
  <si>
    <t>View QA Review tab; log corrected follow-up</t>
  </si>
  <si>
    <t>QA feedback visible; resubmitted</t>
  </si>
  <si>
    <t>Error type, notes and scoring visible; resubmitted to QA</t>
  </si>
  <si>
    <t>RW-15</t>
  </si>
  <si>
    <t>TeamLead</t>
  </si>
  <si>
    <t>Bulk QA approve (§9.1 QA by TL)</t>
  </si>
  <si>
    <t>QA › select › Approve Selected</t>
  </si>
  <si>
    <t>Approved; self-work guard</t>
  </si>
  <si>
    <t>'1 approved.'; dialog notes own-work claims skipped</t>
  </si>
  <si>
    <t>RW-16</t>
  </si>
  <si>
    <t>Bulk CIP second approval (§9.1)</t>
  </si>
  <si>
    <t>CIP Escalations › select both › Bulk Approve</t>
  </si>
  <si>
    <t>Sent to client</t>
  </si>
  <si>
    <t>'2 sent to the client.' Status Sent to Client</t>
  </si>
  <si>
    <t>RW-17</t>
  </si>
  <si>
    <t>Respond to escalation; reassign on request (§8.4)</t>
  </si>
  <si>
    <t>19404713, 19465060</t>
  </si>
  <si>
    <t>Respond › Mark Resolved; Reassign &amp; Resolve → ARAgent3</t>
  </si>
  <si>
    <t>Escalation resolved; claim reassigned, request closed</t>
  </si>
  <si>
    <t>Both resolved; audit 'Reassigned from ARAgent1 to ARAgent3'</t>
  </si>
  <si>
    <t>RW-18</t>
  </si>
  <si>
    <t>Mark write-off / auto-adjustment as posted (§6, §8.3)</t>
  </si>
  <si>
    <t>19521528, 19122637</t>
  </si>
  <si>
    <t>Select › Mark as Posted</t>
  </si>
  <si>
    <t>Posted; claim closes</t>
  </si>
  <si>
    <t>'1 claim(s) marked as posted'; 19521528 → Closed – Fully Adjusted</t>
  </si>
  <si>
    <t>RW-19</t>
  </si>
  <si>
    <t>Restricted queue visibility; masters access (§3.2, §10)</t>
  </si>
  <si>
    <t>Query NC/Closed; open Master Values</t>
  </si>
  <si>
    <t>Sees restricted queues; cannot maintain lists</t>
  </si>
  <si>
    <t>NC 749 / Closed 21,090 visible; masters 403</t>
  </si>
  <si>
    <t>RW-20</t>
  </si>
  <si>
    <t>ClinicViewer (Insight Family Practice)</t>
  </si>
  <si>
    <t>Clinic scope &amp; CIP routing (§10.1, AT-14)</t>
  </si>
  <si>
    <t>19524452 vs 19490126</t>
  </si>
  <si>
    <t>Open Escalation Requests; probe other-clinic claim</t>
  </si>
  <si>
    <t>Only own clinic data and CIPs</t>
  </si>
  <si>
    <t>Only CIP-000002; 7,300 claims all Insight Family Practice; other clinic claim 404</t>
  </si>
  <si>
    <t>RW-21</t>
  </si>
  <si>
    <t>Client never sees internal notes (§9.2)</t>
  </si>
  <si>
    <t>19524452</t>
  </si>
  <si>
    <t>Open #/claims/30117 directly; Follow-Ups / Activity / QA tabs</t>
  </si>
  <si>
    <t>Internal notes hidden</t>
  </si>
  <si>
    <t>Internal agent note and QA notes visible</t>
  </si>
  <si>
    <t>RW-22</t>
  </si>
  <si>
    <t>Clinic user responds to CIP (§9.1, §10.1)</t>
  </si>
  <si>
    <t>Open request</t>
  </si>
  <si>
    <t>Respond with info/attachments</t>
  </si>
  <si>
    <t>Read-only: 'the client contact responds'; no Respond</t>
  </si>
  <si>
    <t>RW-23</t>
  </si>
  <si>
    <t>AccountManager</t>
  </si>
  <si>
    <t>Client responds with attachment; size limit (§9.1, AT-16)</t>
  </si>
  <si>
    <t>Attach 16 MB file; submit empty; submit text + PDF</t>
  </si>
  <si>
    <t>16 MB rejected; text required; response accepted</t>
  </si>
  <si>
    <t>'larger than 15 MB'; 'Enter the requested information.'; 'Response submitted… with 1 attachment(s)'</t>
  </si>
  <si>
    <t>RW-24</t>
  </si>
  <si>
    <t>Claim API / page</t>
  </si>
  <si>
    <t>Hidden</t>
  </si>
  <si>
    <t>Internal notes returned</t>
  </si>
  <si>
    <t>RW-25</t>
  </si>
  <si>
    <t>RCMManager</t>
  </si>
  <si>
    <t>Review client response → insufficient → re-escalate (§9.1)</t>
  </si>
  <si>
    <t>Review Response › Insufficient (no note, then note)</t>
  </si>
  <si>
    <t>Note mandatory; client gets round 2 with feedback</t>
  </si>
  <si>
    <t>'Add a reason first.'; re-sent; client sees Round 2 + 'Needs more info' feedback</t>
  </si>
  <si>
    <t>RW-26</t>
  </si>
  <si>
    <t>Reassign claim (§10)</t>
  </si>
  <si>
    <t>Assign → ARAgent3 with due date</t>
  </si>
  <si>
    <t>Reassigned</t>
  </si>
  <si>
    <t>'1 reassigned — ARAgent3.'; audit entry</t>
  </si>
  <si>
    <t>RW-27</t>
  </si>
  <si>
    <t>Maintain NC / Auto-Adjust lists (§10)</t>
  </si>
  <si>
    <t>Open Workbench Lists</t>
  </si>
  <si>
    <t>Allowed</t>
  </si>
  <si>
    <t>'cannot open Workbench Lists'; API 403</t>
  </si>
  <si>
    <t>RW-28</t>
  </si>
  <si>
    <t>Audit trail &amp; progress monitoring (§10, project scope)</t>
  </si>
  <si>
    <t>Audit Logs; Dashboard Agent Productivity</t>
  </si>
  <si>
    <t>All actions logged; progress by agent</t>
  </si>
  <si>
    <t>244 audit entries incl. every UAT action; ARAgent1 16 assigned / 6 completed</t>
  </si>
  <si>
    <t>RW-29</t>
  </si>
  <si>
    <t>Second-round response (§9.1)</t>
  </si>
  <si>
    <t>Respond again with signed requisition PDF</t>
  </si>
  <si>
    <t>Accepted</t>
  </si>
  <si>
    <t>'Response submitted… 1 attachment(s)'</t>
  </si>
  <si>
    <t>RW-30</t>
  </si>
  <si>
    <t>Approve client response → returns to original agent (§9.1, AT-13)</t>
  </si>
  <si>
    <t>Review Response › Approve &amp; Return to Agent</t>
  </si>
  <si>
    <t>Claim auto-returns to ARAgent1</t>
  </si>
  <si>
    <t>'response approved - the claim is back with the AR agent'; Assigned to ARAgent1; queue CIP Response Received; both attachments retained</t>
  </si>
  <si>
    <t>Defect ID</t>
  </si>
  <si>
    <t>Linked Test Case(s)</t>
  </si>
  <si>
    <t>Area</t>
  </si>
  <si>
    <t>Severity</t>
  </si>
  <si>
    <t>Description</t>
  </si>
  <si>
    <t>DEF-01</t>
  </si>
  <si>
    <t>Dashboard</t>
  </si>
  <si>
    <t>Dashboard insights panel does not show the current week's uploaded Key Observations; shows system-generated top-5 list instead (216, 252, 31, 27, 96) while Data Processing current week shows only CO-216.</t>
  </si>
  <si>
    <t>Open</t>
  </si>
  <si>
    <t>TC-004, TC-005</t>
  </si>
  <si>
    <t>Dashboard / Data Processing</t>
  </si>
  <si>
    <t>Denial code Description shows '—' on Dashboard and on system-generated insight rows although the Denial Code Master holds descriptions (e.g., 216).</t>
  </si>
  <si>
    <t>Claim Detail &gt; Denial Info</t>
  </si>
  <si>
    <t>Denial Reason and 'All Denial Codes' empty for claim with curated 'CO11, CO252'; 'Line-Level Codes' renders '11252' (codes concatenated without separator).</t>
  </si>
  <si>
    <t>Claim Detail &gt; CPT / Line Detail</t>
  </si>
  <si>
    <t>No per-CPT expand control; line denial sub-row lacks description and classification (only on Denial Info tab).</t>
  </si>
  <si>
    <t>DEF-05</t>
  </si>
  <si>
    <t>Work Queue feed</t>
  </si>
  <si>
    <t>Work-queue feed / nav badge (9,054) includes Non-Collectible (759) and Unbilled (1,102) claims; spec limits auto-feed to the 4 Possible Collectible queues (7,193).</t>
  </si>
  <si>
    <t>DEF-06</t>
  </si>
  <si>
    <t>Dashboard KPI</t>
  </si>
  <si>
    <t>'Claims Awaiting Assignment' (83,986) counts every unassigned claim incl. Closed and Patient AR; should count only open Possible Collectible claims.</t>
  </si>
  <si>
    <t>Two conflicting Non-Collectible sources: Workbench list (197, 242, 257, 288, 27, 31) vs Denial Code Master flags (29, 119, 193, 197, 204, 242, 243, 279). Queue engine uses Workbench list; 204/29 etc. treated as collectible.</t>
  </si>
  <si>
    <t>TC-023, TC-064</t>
  </si>
  <si>
    <t>RCM Manager cannot maintain NC / Auto-Adjust lists — Master Values is admin-only.</t>
  </si>
  <si>
    <t>Denial categorization</t>
  </si>
  <si>
    <t>50 primary denial codes unmapped (incl. 216 – 1,708 claims / $594.6K); 48% of denied claims categorised 'Other'. Dependent on open item #2.</t>
  </si>
  <si>
    <t>Open – dependency</t>
  </si>
  <si>
    <t>Work Queue grid</t>
  </si>
  <si>
    <t>Column header still 'Expected Payment'; should read 'Revenue Expectation'.</t>
  </si>
  <si>
    <t>TC-042, TC-043, TC-044</t>
  </si>
  <si>
    <t>Financial fields</t>
  </si>
  <si>
    <t>Revenue Expectation = $0 on all claims (no fee schedule loaded) so Potential Recovery / Recovery Status cannot work; dashboard 'revenue expectation' uses Initial Insurance AR instead. Dependent on open item #5.</t>
  </si>
  <si>
    <t>Analytics</t>
  </si>
  <si>
    <t>Recovered Amount definition includes adjustments and measures from intake; spec = insurance payments only, dated after denial date.</t>
  </si>
  <si>
    <t>TC-048, TC-049, TC-052</t>
  </si>
  <si>
    <t>No attachment upload on follow-up notes; no mandatory document category on uploads.</t>
  </si>
  <si>
    <t>Document Vault</t>
  </si>
  <si>
    <t>Document Vault (search by claim/visit, patient, category) not implemented.</t>
  </si>
  <si>
    <t>TC-063, TC-066</t>
  </si>
  <si>
    <t>Security / Comment visibility</t>
  </si>
  <si>
    <t>Critical</t>
  </si>
  <si>
    <t>Client users (Clinic Viewer and Client Viewer) can open the full claim page via direct URL (#/claims/{key}) and the claim API; Follow-Ups, Activity Timeline and QA Review expose internal agent notes and QA notes (e.g., claim 19524452). Violates §9.2.</t>
  </si>
  <si>
    <t>TC-016, TC-024</t>
  </si>
  <si>
    <t>Security / Access</t>
  </si>
  <si>
    <t>QA Reviewer: Work Queue page blocked in UI, but claims/queues API returns all 84,074 claims including restricted Non-Collectible and Closed queues. Enforce role scope server-side.</t>
  </si>
  <si>
    <t>Write-off posting</t>
  </si>
  <si>
    <t>AR Agent cannot 'Mark as Posted' an approved write-off (no control; API 403 with misleading message 'Only … can assign claims'). §8.3 says the agent posts in PMS and marks the claim complete.</t>
  </si>
  <si>
    <t>CIP / Client users</t>
  </si>
  <si>
    <t>Clinic Viewer is read-only and cannot respond to CIPs routed to their clinic; only the lab-level Client Viewer can respond. Conflicts with §9.1/§10.1 (CIPs routed to clinic-scoped users who respond). Confirm intended design.</t>
  </si>
  <si>
    <t>Open – clarify</t>
  </si>
  <si>
    <t>AR Queue</t>
  </si>
  <si>
    <t>After the client responds, claim remains in 'Client Escalation (CIP) Pending'; it only enters 'CIP Response Received' after the manager approves and returns it to the agent. §3.1 defines CIP Response Received as 'client has responded'.</t>
  </si>
  <si>
    <t>After auto-adjustment, RemainingAR = 0 but claim InsuranceBalance still shows the original amount (19122637: $60.90). §6 says nullify the balance within the Workbench.</t>
  </si>
  <si>
    <t>Obs ID</t>
  </si>
  <si>
    <t>Observation / Clarification Needed</t>
  </si>
  <si>
    <t>Data Processing header 'Master File Loaded' shows '—' even though run #3 loaded a file.</t>
  </si>
  <si>
    <t>Insight count (1,699) uses primary denial only; routed Work Queue filter returns 1,700 (includes a claim with 216 as secondary code). Align filter with insight basis.</t>
  </si>
  <si>
    <t>2 Non-Responder claims have source status 'Patient Responsibility' — confirm intended.</t>
  </si>
  <si>
    <t>100 Denied – Possible Collectible claims carry an NC/terminal code (e.g., 242) as a secondary code in the curated column; will move once Phase 2 hierarchy is delivered.</t>
  </si>
  <si>
    <t>No Patient AR claim retains a denial code, so 'denial present → still Patient AR' could not be exercised.</t>
  </si>
  <si>
    <t>TC-020, TC-033</t>
  </si>
  <si>
    <t>Extra queues not in spec: 'Unbilled (Not Yet Billed)' and 'Status Change Verification'. Confirm with business owner and add to the requirement doc.</t>
  </si>
  <si>
    <t>Claims API returns AssignedAgentName = null while AssignedAgentUser is populated (display name gap).</t>
  </si>
  <si>
    <t>'CR' (Corrections &amp; Reversals) group prefix not stripped — CR96 falls to Unmapped/'Other'. Spec lists CO/PR/PI/OA only; confirm whether CR should be added.</t>
  </si>
  <si>
    <t>Assignment page '6,066 claims untouched for 45+ days' counts never-worked claims; ensure this is not confused with the Re-Follow-Up – Unresolved rule (touched claims only).</t>
  </si>
  <si>
    <t>7 Closed claims remain 'Assigned' — confirm they were assigned intentionally (special project) rather than left assigned after closing on sync.</t>
  </si>
  <si>
    <t>No dedicated 'Export Auto Adjustments report' for PMS posting; relies on generic export.</t>
  </si>
  <si>
    <t>Later-than-45-day next follow-up dates are not blocked (open item #8).</t>
  </si>
  <si>
    <t>OBS-13</t>
  </si>
  <si>
    <t>Analytics &amp; Reports visible to AR Agent and QA Reviewer; matrix leaves these blank — confirm intended.</t>
  </si>
  <si>
    <t>Client Viewer has no claim/line-item export (Work Queue blocked); project instructions say Account Manager / Client can export denial line items to Excel — confirm whether Reports exports cover this.</t>
  </si>
  <si>
    <t>OBS-15</t>
  </si>
  <si>
    <t>RW (all)</t>
  </si>
  <si>
    <t>1,165 unassigned Possible Collectible claims have no clinic on the claim, so clinic-scoped users will never see them; confirm clinic mapping in the master file.</t>
  </si>
  <si>
    <t>Ref</t>
  </si>
  <si>
    <t>Mockup (Demo Account HTML)</t>
  </si>
  <si>
    <t>Application (Test)</t>
  </si>
  <si>
    <t>Assessment</t>
  </si>
  <si>
    <t>M-01</t>
  </si>
  <si>
    <t>Navigation / screens</t>
  </si>
  <si>
    <t>16 screens incl. My Work, System Settings, Client Escalation Requests (viewer)</t>
  </si>
  <si>
    <t>All screens present; 'System Settings' replaced by 'Master Values' (9 sub-pages); adds 'Status Change Verification'</t>
  </si>
  <si>
    <t>Aligned (with additions)</t>
  </si>
  <si>
    <t>M-02</t>
  </si>
  <si>
    <t>Personas / roles</t>
  </si>
  <si>
    <t>Admin, RCM Manager, Team Lead, AR Agent, QA Reviewer, Client Viewer (client / clinic / provider scopes)</t>
  </si>
  <si>
    <t>Same 8 roles incl. Clinic Viewer and Provider Viewer</t>
  </si>
  <si>
    <t>Aligned</t>
  </si>
  <si>
    <t>M-03</t>
  </si>
  <si>
    <t>Dashboard KPI tiles</t>
  </si>
  <si>
    <t>10 tiles: Eligible Claims, Outstanding Ins AR, Awaiting Assignment, In Progress, Awaiting QA, QA Rejected, Completed/Closed, Recovered, Potential Recovery, Overdue Follow-Ups</t>
  </si>
  <si>
    <t>Same 10 tiles</t>
  </si>
  <si>
    <t>Aligned (values: see DEF-06, DEF-11)</t>
  </si>
  <si>
    <t>M-04</t>
  </si>
  <si>
    <t>Dashboard insight table</t>
  </si>
  <si>
    <t>Denial code, description, counts, balance, top payer, impact, observation, category, action</t>
  </si>
  <si>
    <t>Same columns; descriptions blank</t>
  </si>
  <si>
    <t>Partially aligned (DEF-02)</t>
  </si>
  <si>
    <t>M-05</t>
  </si>
  <si>
    <t>Work Queue filters</t>
  </si>
  <si>
    <t>Client, payer, panel, category, status, agent, priority, aging, AR queue, TFL, search, saved views</t>
  </si>
  <si>
    <t>Same plus Clinic, Open Ins AR only, Non-collectible only</t>
  </si>
  <si>
    <t>M-06</t>
  </si>
  <si>
    <t>Work Queue column</t>
  </si>
  <si>
    <t>'Expected Payment'</t>
  </si>
  <si>
    <t>'Expected Payment' (mockup pre-dates handoff rename)</t>
  </si>
  <si>
    <t>Both outdated vs handoff (DEF-10)</t>
  </si>
  <si>
    <t>M-07</t>
  </si>
  <si>
    <t>Claim detail financials</t>
  </si>
  <si>
    <t>Expected Payment, Potential Recovery</t>
  </si>
  <si>
    <t>Revenue Expectation, Potential Recovery, Recovery Status</t>
  </si>
  <si>
    <t>App follows handoff (better than mockup)</t>
  </si>
  <si>
    <t>M-08</t>
  </si>
  <si>
    <t>Process Automatic Adjustments</t>
  </si>
  <si>
    <t>Button in restricted Work Queue; claims moved to Completed</t>
  </si>
  <si>
    <t>Button present; Auto Adjustments queue created (per handoff)</t>
  </si>
  <si>
    <t>App follows handoff</t>
  </si>
  <si>
    <t>M-09</t>
  </si>
  <si>
    <t>Log Follow-Up Note</t>
  </si>
  <si>
    <t>Claim Type, Follow-Up Type, Claim Status, Root Cause, Fix/Resolution, Comment, Next Follow-Up</t>
  </si>
  <si>
    <t>Same fields + CIP Category / Required Info / CIP Comment</t>
  </si>
  <si>
    <t>Aligned; neither has attachments (DEF-13)</t>
  </si>
  <si>
    <t>M-10</t>
  </si>
  <si>
    <t>CIP Escalations</t>
  </si>
  <si>
    <t>Review, bulk approve / reject, return to agent, re-escalate</t>
  </si>
  <si>
    <t>Same lifecycle and bulk actions</t>
  </si>
  <si>
    <t>M-11</t>
  </si>
  <si>
    <t>Escalation &amp; Reassignment Requests</t>
  </si>
  <si>
    <t>Screen for Admin/Mgr/TL with Mark Resolved</t>
  </si>
  <si>
    <t>Same; reassigning resolves request</t>
  </si>
  <si>
    <t>M-12</t>
  </si>
  <si>
    <t>Reports</t>
  </si>
  <si>
    <t>Denial Analysis, Panel Type, AR Aging, Recovery Performance, Agent Productivity</t>
  </si>
  <si>
    <t>Same 5 plus Recovery Trend, Action Completion, Operational SLA, AR Collections Progress; RPT-01–09 map</t>
  </si>
  <si>
    <t>Aligned (extended)</t>
  </si>
  <si>
    <t>M-13</t>
  </si>
  <si>
    <t>Assignment Management</t>
  </si>
  <si>
    <t>Batch by category with Due Date; untouched claims list</t>
  </si>
  <si>
    <t>Same</t>
  </si>
  <si>
    <t>M-14</t>
  </si>
  <si>
    <t>Non-Collectible list</t>
  </si>
  <si>
    <t>System Settings (admin only)</t>
  </si>
  <si>
    <t>Master Values &gt; Workbench Lists (admin only)</t>
  </si>
  <si>
    <t>Both conflict with handoff role matrix (DEF-08)</t>
  </si>
  <si>
    <t>M-15</t>
  </si>
  <si>
    <t>Not in mockup</t>
  </si>
  <si>
    <t>Not built</t>
  </si>
  <si>
    <t>Gap vs handoff (DEF-14)</t>
  </si>
  <si>
    <t>Queue reconciliation – all 84,074 claims (API pull, 15 Oct 2026)</t>
  </si>
  <si>
    <t>Queue</t>
  </si>
  <si>
    <t>Sub-queue</t>
  </si>
  <si>
    <t>Claims</t>
  </si>
  <si>
    <t>Unassigned</t>
  </si>
  <si>
    <t>Auto-fed per spec?</t>
  </si>
  <si>
    <t>Rule exceptions found</t>
  </si>
  <si>
    <t>Closed</t>
  </si>
  <si>
    <t>Fully Paid</t>
  </si>
  <si>
    <t>No</t>
  </si>
  <si>
    <t>Fully Adjusted</t>
  </si>
  <si>
    <t>Patient AR</t>
  </si>
  <si>
    <t>Non-Responder</t>
  </si>
  <si>
    <t>Possible Collectible</t>
  </si>
  <si>
    <t>Yes</t>
  </si>
  <si>
    <t>Denied</t>
  </si>
  <si>
    <t>Non-Collectible</t>
  </si>
  <si>
    <t>Partially Paid</t>
  </si>
  <si>
    <t>Partially Adjusted</t>
  </si>
  <si>
    <t>Unbilled (not in spec)</t>
  </si>
  <si>
    <t>Not defined</t>
  </si>
  <si>
    <t>QA Rejected</t>
  </si>
  <si>
    <t>Client Escalation (CIP) Pending</t>
  </si>
  <si>
    <t>Completed Claims</t>
  </si>
  <si>
    <t>Unassigned in spec auto-fed queues</t>
  </si>
  <si>
    <t>Work Queue nav badge (observed in app)</t>
  </si>
  <si>
    <t>Variance (badge − spec)</t>
  </si>
  <si>
    <t>Dashboard 'Claims Awaiting Assignment' (observed)</t>
  </si>
  <si>
    <t>Blue values were read from the app UI on 15 Oct 2026; counts in the table come from the claims API pull.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</si>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</sst>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i/>
      <sz val="8"/>
      <name val="Arial"/>
      <charset val="1"/>
    </font>
    <font>
      <b/>
      <sz val="12"/>
      <color rgb="FF1F3A5F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EDEDED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2" borderId="0" xfId="0" applyFont="1" applyFill="1"/>
    <xf numFmtId="0" fontId="3" fillId="3" borderId="0" xfId="0" applyFont="1" applyFill="1"/>
    <xf numFmtId="0" fontId="3" fillId="0" borderId="0" xfId="0" applyFont="1"/>
    <xf numFmtId="164" fontId="3" fillId="0" borderId="0" xfId="0" applyNumberFormat="1" applyFont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2" fillId="0" borderId="0" xfId="0" applyFont="1"/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3" fontId="2" fillId="0" borderId="0" xfId="0" applyNumberFormat="1" applyFont="1"/>
    <xf numFmtId="3" fontId="8" fillId="0" borderId="0" xfId="0" applyNumberFormat="1" applyFont="1"/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16"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EDEDED"/>
        </patternFill>
      </fill>
    </dxf>
    <dxf>
      <fill>
        <patternFill>
          <bgColor rgb="FFDDEBF7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EDEDED"/>
        </patternFill>
      </fill>
    </dxf>
    <dxf>
      <fill>
        <patternFill>
          <bgColor rgb="FFDDEBF7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opLeftCell="A18" zoomScaleNormal="100" workbookViewId="0">
      <selection activeCell="A22" sqref="A22:A39"/>
    </sheetView>
  </sheetViews>
  <sheetFormatPr defaultColWidth="8.6640625" defaultRowHeight="14.4" x14ac:dyDescent="0.3"/>
  <cols>
    <col min="1" max="1" width="30" customWidth="1"/>
    <col min="2" max="2" width="14" customWidth="1"/>
    <col min="3" max="8" width="13" customWidth="1"/>
  </cols>
  <sheetData>
    <row r="1" spans="1:8" ht="17.399999999999999" x14ac:dyDescent="0.3">
      <c r="A1" s="2" t="s">
        <v>0</v>
      </c>
    </row>
    <row r="3" spans="1:8" x14ac:dyDescent="0.3">
      <c r="A3" s="3" t="s">
        <v>1</v>
      </c>
      <c r="B3" s="4" t="s">
        <v>2</v>
      </c>
      <c r="C3" s="5"/>
      <c r="D3" s="5"/>
      <c r="E3" s="5"/>
      <c r="F3" s="5"/>
      <c r="G3" s="5"/>
      <c r="H3" s="5"/>
    </row>
    <row r="4" spans="1:8" x14ac:dyDescent="0.3">
      <c r="A4" s="3" t="s">
        <v>3</v>
      </c>
      <c r="B4" s="4" t="s">
        <v>4</v>
      </c>
      <c r="C4" s="5"/>
      <c r="D4" s="5"/>
      <c r="E4" s="5"/>
      <c r="F4" s="5"/>
      <c r="G4" s="5"/>
      <c r="H4" s="5"/>
    </row>
    <row r="5" spans="1:8" x14ac:dyDescent="0.3">
      <c r="A5" s="3" t="s">
        <v>5</v>
      </c>
      <c r="B5" s="4" t="s">
        <v>6</v>
      </c>
      <c r="C5" s="5"/>
      <c r="D5" s="5"/>
      <c r="E5" s="5"/>
      <c r="F5" s="5"/>
      <c r="G5" s="5"/>
      <c r="H5" s="5"/>
    </row>
    <row r="6" spans="1:8" x14ac:dyDescent="0.3">
      <c r="A6" s="3" t="s">
        <v>7</v>
      </c>
      <c r="B6" s="4" t="s">
        <v>8</v>
      </c>
      <c r="C6" s="5"/>
      <c r="D6" s="5"/>
      <c r="E6" s="5"/>
      <c r="F6" s="5"/>
      <c r="G6" s="5"/>
      <c r="H6" s="5"/>
    </row>
    <row r="7" spans="1:8" x14ac:dyDescent="0.3">
      <c r="A7" s="3" t="s">
        <v>9</v>
      </c>
      <c r="B7" s="4" t="s">
        <v>10</v>
      </c>
      <c r="C7" s="5"/>
      <c r="D7" s="5"/>
      <c r="E7" s="5"/>
      <c r="F7" s="5"/>
      <c r="G7" s="5"/>
      <c r="H7" s="5"/>
    </row>
    <row r="8" spans="1:8" x14ac:dyDescent="0.3">
      <c r="A8" s="3" t="s">
        <v>11</v>
      </c>
      <c r="B8" s="4" t="s">
        <v>12</v>
      </c>
      <c r="C8" s="5"/>
      <c r="D8" s="5"/>
      <c r="E8" s="5"/>
      <c r="F8" s="5"/>
      <c r="G8" s="5"/>
      <c r="H8" s="5"/>
    </row>
    <row r="10" spans="1:8" x14ac:dyDescent="0.3">
      <c r="A10" s="6" t="s">
        <v>13</v>
      </c>
      <c r="B10" s="6" t="s">
        <v>14</v>
      </c>
      <c r="C10" s="6" t="s">
        <v>15</v>
      </c>
    </row>
    <row r="11" spans="1:8" x14ac:dyDescent="0.3">
      <c r="A11" s="7" t="s">
        <v>16</v>
      </c>
      <c r="B11" s="8">
        <f>COUNTIF('Test Cases'!$J$2:$J$69,A11)</f>
        <v>34</v>
      </c>
      <c r="C11" s="9">
        <f t="shared" ref="C11:C16" si="0">IFERROR(B11/$B$17,0)</f>
        <v>0.5</v>
      </c>
    </row>
    <row r="12" spans="1:8" x14ac:dyDescent="0.3">
      <c r="A12" s="10" t="s">
        <v>17</v>
      </c>
      <c r="B12" s="8">
        <f>COUNTIF('Test Cases'!$J$2:$J$69,A12)</f>
        <v>12</v>
      </c>
      <c r="C12" s="9">
        <f t="shared" si="0"/>
        <v>0.17647058823529413</v>
      </c>
    </row>
    <row r="13" spans="1:8" x14ac:dyDescent="0.3">
      <c r="A13" s="11" t="s">
        <v>18</v>
      </c>
      <c r="B13" s="8">
        <f>COUNTIF('Test Cases'!$J$2:$J$69,A13)</f>
        <v>14</v>
      </c>
      <c r="C13" s="9">
        <f t="shared" si="0"/>
        <v>0.20588235294117646</v>
      </c>
    </row>
    <row r="14" spans="1:8" x14ac:dyDescent="0.3">
      <c r="A14" s="12" t="s">
        <v>19</v>
      </c>
      <c r="B14" s="8">
        <f>COUNTIF('Test Cases'!$J$2:$J$69,A14)</f>
        <v>3</v>
      </c>
      <c r="C14" s="9">
        <f t="shared" si="0"/>
        <v>4.4117647058823532E-2</v>
      </c>
    </row>
    <row r="15" spans="1:8" x14ac:dyDescent="0.3">
      <c r="A15" s="13" t="s">
        <v>20</v>
      </c>
      <c r="B15" s="8">
        <f>COUNTIF('Test Cases'!$J$2:$J$69,A15)</f>
        <v>4</v>
      </c>
      <c r="C15" s="9">
        <f t="shared" si="0"/>
        <v>5.8823529411764705E-2</v>
      </c>
    </row>
    <row r="16" spans="1:8" x14ac:dyDescent="0.3">
      <c r="A16" s="14" t="s">
        <v>21</v>
      </c>
      <c r="B16" s="8">
        <f>COUNTIF('Test Cases'!$J$2:$J$69,A16)</f>
        <v>1</v>
      </c>
      <c r="C16" s="9">
        <f t="shared" si="0"/>
        <v>1.4705882352941176E-2</v>
      </c>
    </row>
    <row r="17" spans="1:8" x14ac:dyDescent="0.3">
      <c r="A17" s="15" t="s">
        <v>22</v>
      </c>
      <c r="B17" s="15">
        <f>SUM(B11:B16)</f>
        <v>68</v>
      </c>
      <c r="C17" s="16">
        <f>IFERROR(B17/B17,0)</f>
        <v>1</v>
      </c>
    </row>
    <row r="18" spans="1:8" x14ac:dyDescent="0.3">
      <c r="A18" s="15" t="s">
        <v>23</v>
      </c>
      <c r="B18" s="16">
        <f>IFERROR(B11/(B11+B12+B13),0)</f>
        <v>0.56666666666666665</v>
      </c>
      <c r="C18" s="17" t="s">
        <v>24</v>
      </c>
    </row>
    <row r="21" spans="1:8" x14ac:dyDescent="0.3">
      <c r="A21" s="6" t="s">
        <v>25</v>
      </c>
      <c r="B21" s="6" t="s">
        <v>22</v>
      </c>
      <c r="C21" s="6" t="s">
        <v>16</v>
      </c>
      <c r="D21" s="6" t="s">
        <v>17</v>
      </c>
      <c r="E21" s="6" t="s">
        <v>18</v>
      </c>
      <c r="F21" s="6" t="s">
        <v>19</v>
      </c>
      <c r="G21" s="6" t="s">
        <v>20</v>
      </c>
      <c r="H21" s="6" t="s">
        <v>21</v>
      </c>
    </row>
    <row r="22" spans="1:8" x14ac:dyDescent="0.3">
      <c r="A22" s="8" t="s">
        <v>26</v>
      </c>
      <c r="B22" s="8">
        <f>COUNTIF('Test Cases'!$B$2:$B$69,A22)</f>
        <v>3</v>
      </c>
      <c r="C22" s="8">
        <f>COUNTIFS('Test Cases'!$B$2:$B$69,$A22,'Test Cases'!$J$2:$J$69,"Pass")</f>
        <v>3</v>
      </c>
      <c r="D22" s="8">
        <f>COUNTIFS('Test Cases'!$B$2:$B$69,$A22,'Test Cases'!$J$2:$J$69,"Fail")</f>
        <v>0</v>
      </c>
      <c r="E22" s="8">
        <f>COUNTIFS('Test Cases'!$B$2:$B$69,$A22,'Test Cases'!$J$2:$J$69,"Partial")</f>
        <v>0</v>
      </c>
      <c r="F22" s="8">
        <f>COUNTIFS('Test Cases'!$B$2:$B$69,$A22,'Test Cases'!$J$2:$J$69,"Blocked")</f>
        <v>0</v>
      </c>
      <c r="G22" s="8">
        <f>COUNTIFS('Test Cases'!$B$2:$B$69,$A22,'Test Cases'!$J$2:$J$69,"Not Executed")</f>
        <v>0</v>
      </c>
      <c r="H22" s="8">
        <f>COUNTIFS('Test Cases'!$B$2:$B$69,$A22,'Test Cases'!$J$2:$J$69,"N/A (Phase 2)")</f>
        <v>0</v>
      </c>
    </row>
    <row r="23" spans="1:8" x14ac:dyDescent="0.3">
      <c r="A23" s="8" t="s">
        <v>27</v>
      </c>
      <c r="B23" s="8">
        <f>COUNTIF('Test Cases'!$B$2:$B$69,A23)</f>
        <v>5</v>
      </c>
      <c r="C23" s="8">
        <f>COUNTIFS('Test Cases'!$B$2:$B$69,$A23,'Test Cases'!$J$2:$J$69,"Pass")</f>
        <v>2</v>
      </c>
      <c r="D23" s="8">
        <f>COUNTIFS('Test Cases'!$B$2:$B$69,$A23,'Test Cases'!$J$2:$J$69,"Fail")</f>
        <v>1</v>
      </c>
      <c r="E23" s="8">
        <f>COUNTIFS('Test Cases'!$B$2:$B$69,$A23,'Test Cases'!$J$2:$J$69,"Partial")</f>
        <v>2</v>
      </c>
      <c r="F23" s="8">
        <f>COUNTIFS('Test Cases'!$B$2:$B$69,$A23,'Test Cases'!$J$2:$J$69,"Blocked")</f>
        <v>0</v>
      </c>
      <c r="G23" s="8">
        <f>COUNTIFS('Test Cases'!$B$2:$B$69,$A23,'Test Cases'!$J$2:$J$69,"Not Executed")</f>
        <v>0</v>
      </c>
      <c r="H23" s="8">
        <f>COUNTIFS('Test Cases'!$B$2:$B$69,$A23,'Test Cases'!$J$2:$J$69,"N/A (Phase 2)")</f>
        <v>0</v>
      </c>
    </row>
    <row r="24" spans="1:8" x14ac:dyDescent="0.3">
      <c r="A24" s="8" t="s">
        <v>28</v>
      </c>
      <c r="B24" s="8">
        <f>COUNTIF('Test Cases'!$B$2:$B$69,A24)</f>
        <v>3</v>
      </c>
      <c r="C24" s="8">
        <f>COUNTIFS('Test Cases'!$B$2:$B$69,$A24,'Test Cases'!$J$2:$J$69,"Pass")</f>
        <v>1</v>
      </c>
      <c r="D24" s="8">
        <f>COUNTIFS('Test Cases'!$B$2:$B$69,$A24,'Test Cases'!$J$2:$J$69,"Fail")</f>
        <v>0</v>
      </c>
      <c r="E24" s="8">
        <f>COUNTIFS('Test Cases'!$B$2:$B$69,$A24,'Test Cases'!$J$2:$J$69,"Partial")</f>
        <v>2</v>
      </c>
      <c r="F24" s="8">
        <f>COUNTIFS('Test Cases'!$B$2:$B$69,$A24,'Test Cases'!$J$2:$J$69,"Blocked")</f>
        <v>0</v>
      </c>
      <c r="G24" s="8">
        <f>COUNTIFS('Test Cases'!$B$2:$B$69,$A24,'Test Cases'!$J$2:$J$69,"Not Executed")</f>
        <v>0</v>
      </c>
      <c r="H24" s="8">
        <f>COUNTIFS('Test Cases'!$B$2:$B$69,$A24,'Test Cases'!$J$2:$J$69,"N/A (Phase 2)")</f>
        <v>0</v>
      </c>
    </row>
    <row r="25" spans="1:8" x14ac:dyDescent="0.3">
      <c r="A25" s="8" t="s">
        <v>29</v>
      </c>
      <c r="B25" s="8">
        <f>COUNTIF('Test Cases'!$B$2:$B$69,A25)</f>
        <v>12</v>
      </c>
      <c r="C25" s="8">
        <f>COUNTIFS('Test Cases'!$B$2:$B$69,$A25,'Test Cases'!$J$2:$J$69,"Pass")</f>
        <v>10</v>
      </c>
      <c r="D25" s="8">
        <f>COUNTIFS('Test Cases'!$B$2:$B$69,$A25,'Test Cases'!$J$2:$J$69,"Fail")</f>
        <v>1</v>
      </c>
      <c r="E25" s="8">
        <f>COUNTIFS('Test Cases'!$B$2:$B$69,$A25,'Test Cases'!$J$2:$J$69,"Partial")</f>
        <v>1</v>
      </c>
      <c r="F25" s="8">
        <f>COUNTIFS('Test Cases'!$B$2:$B$69,$A25,'Test Cases'!$J$2:$J$69,"Blocked")</f>
        <v>0</v>
      </c>
      <c r="G25" s="8">
        <f>COUNTIFS('Test Cases'!$B$2:$B$69,$A25,'Test Cases'!$J$2:$J$69,"Not Executed")</f>
        <v>0</v>
      </c>
      <c r="H25" s="8">
        <f>COUNTIFS('Test Cases'!$B$2:$B$69,$A25,'Test Cases'!$J$2:$J$69,"N/A (Phase 2)")</f>
        <v>0</v>
      </c>
    </row>
    <row r="26" spans="1:8" x14ac:dyDescent="0.3">
      <c r="A26" s="8" t="s">
        <v>30</v>
      </c>
      <c r="B26" s="8">
        <f>COUNTIF('Test Cases'!$B$2:$B$69,A26)</f>
        <v>1</v>
      </c>
      <c r="C26" s="8">
        <f>COUNTIFS('Test Cases'!$B$2:$B$69,$A26,'Test Cases'!$J$2:$J$69,"Pass")</f>
        <v>0</v>
      </c>
      <c r="D26" s="8">
        <f>COUNTIFS('Test Cases'!$B$2:$B$69,$A26,'Test Cases'!$J$2:$J$69,"Fail")</f>
        <v>0</v>
      </c>
      <c r="E26" s="8">
        <f>COUNTIFS('Test Cases'!$B$2:$B$69,$A26,'Test Cases'!$J$2:$J$69,"Partial")</f>
        <v>1</v>
      </c>
      <c r="F26" s="8">
        <f>COUNTIFS('Test Cases'!$B$2:$B$69,$A26,'Test Cases'!$J$2:$J$69,"Blocked")</f>
        <v>0</v>
      </c>
      <c r="G26" s="8">
        <f>COUNTIFS('Test Cases'!$B$2:$B$69,$A26,'Test Cases'!$J$2:$J$69,"Not Executed")</f>
        <v>0</v>
      </c>
      <c r="H26" s="8">
        <f>COUNTIFS('Test Cases'!$B$2:$B$69,$A26,'Test Cases'!$J$2:$J$69,"N/A (Phase 2)")</f>
        <v>0</v>
      </c>
    </row>
    <row r="27" spans="1:8" x14ac:dyDescent="0.3">
      <c r="A27" s="8" t="s">
        <v>31</v>
      </c>
      <c r="B27" s="8">
        <f>COUNTIF('Test Cases'!$B$2:$B$69,A27)</f>
        <v>3</v>
      </c>
      <c r="C27" s="8">
        <f>COUNTIFS('Test Cases'!$B$2:$B$69,$A27,'Test Cases'!$J$2:$J$69,"Pass")</f>
        <v>0</v>
      </c>
      <c r="D27" s="8">
        <f>COUNTIFS('Test Cases'!$B$2:$B$69,$A27,'Test Cases'!$J$2:$J$69,"Fail")</f>
        <v>1</v>
      </c>
      <c r="E27" s="8">
        <f>COUNTIFS('Test Cases'!$B$2:$B$69,$A27,'Test Cases'!$J$2:$J$69,"Partial")</f>
        <v>2</v>
      </c>
      <c r="F27" s="8">
        <f>COUNTIFS('Test Cases'!$B$2:$B$69,$A27,'Test Cases'!$J$2:$J$69,"Blocked")</f>
        <v>0</v>
      </c>
      <c r="G27" s="8">
        <f>COUNTIFS('Test Cases'!$B$2:$B$69,$A27,'Test Cases'!$J$2:$J$69,"Not Executed")</f>
        <v>0</v>
      </c>
      <c r="H27" s="8">
        <f>COUNTIFS('Test Cases'!$B$2:$B$69,$A27,'Test Cases'!$J$2:$J$69,"N/A (Phase 2)")</f>
        <v>0</v>
      </c>
    </row>
    <row r="28" spans="1:8" x14ac:dyDescent="0.3">
      <c r="A28" s="8" t="s">
        <v>32</v>
      </c>
      <c r="B28" s="8">
        <f>COUNTIF('Test Cases'!$B$2:$B$69,A28)</f>
        <v>6</v>
      </c>
      <c r="C28" s="8">
        <f>COUNTIFS('Test Cases'!$B$2:$B$69,$A28,'Test Cases'!$J$2:$J$69,"Pass")</f>
        <v>3</v>
      </c>
      <c r="D28" s="8">
        <f>COUNTIFS('Test Cases'!$B$2:$B$69,$A28,'Test Cases'!$J$2:$J$69,"Fail")</f>
        <v>1</v>
      </c>
      <c r="E28" s="8">
        <f>COUNTIFS('Test Cases'!$B$2:$B$69,$A28,'Test Cases'!$J$2:$J$69,"Partial")</f>
        <v>0</v>
      </c>
      <c r="F28" s="8">
        <f>COUNTIFS('Test Cases'!$B$2:$B$69,$A28,'Test Cases'!$J$2:$J$69,"Blocked")</f>
        <v>1</v>
      </c>
      <c r="G28" s="8">
        <f>COUNTIFS('Test Cases'!$B$2:$B$69,$A28,'Test Cases'!$J$2:$J$69,"Not Executed")</f>
        <v>0</v>
      </c>
      <c r="H28" s="8">
        <f>COUNTIFS('Test Cases'!$B$2:$B$69,$A28,'Test Cases'!$J$2:$J$69,"N/A (Phase 2)")</f>
        <v>1</v>
      </c>
    </row>
    <row r="29" spans="1:8" x14ac:dyDescent="0.3">
      <c r="A29" s="8" t="s">
        <v>33</v>
      </c>
      <c r="B29" s="8">
        <f>COUNTIF('Test Cases'!$B$2:$B$69,A29)</f>
        <v>5</v>
      </c>
      <c r="C29" s="8">
        <f>COUNTIFS('Test Cases'!$B$2:$B$69,$A29,'Test Cases'!$J$2:$J$69,"Pass")</f>
        <v>0</v>
      </c>
      <c r="D29" s="8">
        <f>COUNTIFS('Test Cases'!$B$2:$B$69,$A29,'Test Cases'!$J$2:$J$69,"Fail")</f>
        <v>0</v>
      </c>
      <c r="E29" s="8">
        <f>COUNTIFS('Test Cases'!$B$2:$B$69,$A29,'Test Cases'!$J$2:$J$69,"Partial")</f>
        <v>1</v>
      </c>
      <c r="F29" s="8">
        <f>COUNTIFS('Test Cases'!$B$2:$B$69,$A29,'Test Cases'!$J$2:$J$69,"Blocked")</f>
        <v>1</v>
      </c>
      <c r="G29" s="8">
        <f>COUNTIFS('Test Cases'!$B$2:$B$69,$A29,'Test Cases'!$J$2:$J$69,"Not Executed")</f>
        <v>3</v>
      </c>
      <c r="H29" s="8">
        <f>COUNTIFS('Test Cases'!$B$2:$B$69,$A29,'Test Cases'!$J$2:$J$69,"N/A (Phase 2)")</f>
        <v>0</v>
      </c>
    </row>
    <row r="30" spans="1:8" x14ac:dyDescent="0.3">
      <c r="A30" s="8" t="s">
        <v>34</v>
      </c>
      <c r="B30" s="8">
        <f>COUNTIF('Test Cases'!$B$2:$B$69,A30)</f>
        <v>3</v>
      </c>
      <c r="C30" s="8">
        <f>COUNTIFS('Test Cases'!$B$2:$B$69,$A30,'Test Cases'!$J$2:$J$69,"Pass")</f>
        <v>3</v>
      </c>
      <c r="D30" s="8">
        <f>COUNTIFS('Test Cases'!$B$2:$B$69,$A30,'Test Cases'!$J$2:$J$69,"Fail")</f>
        <v>0</v>
      </c>
      <c r="E30" s="8">
        <f>COUNTIFS('Test Cases'!$B$2:$B$69,$A30,'Test Cases'!$J$2:$J$69,"Partial")</f>
        <v>0</v>
      </c>
      <c r="F30" s="8">
        <f>COUNTIFS('Test Cases'!$B$2:$B$69,$A30,'Test Cases'!$J$2:$J$69,"Blocked")</f>
        <v>0</v>
      </c>
      <c r="G30" s="8">
        <f>COUNTIFS('Test Cases'!$B$2:$B$69,$A30,'Test Cases'!$J$2:$J$69,"Not Executed")</f>
        <v>0</v>
      </c>
      <c r="H30" s="8">
        <f>COUNTIFS('Test Cases'!$B$2:$B$69,$A30,'Test Cases'!$J$2:$J$69,"N/A (Phase 2)")</f>
        <v>0</v>
      </c>
    </row>
    <row r="31" spans="1:8" x14ac:dyDescent="0.3">
      <c r="A31" s="8" t="s">
        <v>35</v>
      </c>
      <c r="B31" s="8">
        <f>COUNTIF('Test Cases'!$B$2:$B$69,A31)</f>
        <v>5</v>
      </c>
      <c r="C31" s="8">
        <f>COUNTIFS('Test Cases'!$B$2:$B$69,$A31,'Test Cases'!$J$2:$J$69,"Pass")</f>
        <v>0</v>
      </c>
      <c r="D31" s="8">
        <f>COUNTIFS('Test Cases'!$B$2:$B$69,$A31,'Test Cases'!$J$2:$J$69,"Fail")</f>
        <v>3</v>
      </c>
      <c r="E31" s="8">
        <f>COUNTIFS('Test Cases'!$B$2:$B$69,$A31,'Test Cases'!$J$2:$J$69,"Partial")</f>
        <v>1</v>
      </c>
      <c r="F31" s="8">
        <f>COUNTIFS('Test Cases'!$B$2:$B$69,$A31,'Test Cases'!$J$2:$J$69,"Blocked")</f>
        <v>1</v>
      </c>
      <c r="G31" s="8">
        <f>COUNTIFS('Test Cases'!$B$2:$B$69,$A31,'Test Cases'!$J$2:$J$69,"Not Executed")</f>
        <v>0</v>
      </c>
      <c r="H31" s="8">
        <f>COUNTIFS('Test Cases'!$B$2:$B$69,$A31,'Test Cases'!$J$2:$J$69,"N/A (Phase 2)")</f>
        <v>0</v>
      </c>
    </row>
    <row r="32" spans="1:8" x14ac:dyDescent="0.3">
      <c r="A32" s="8" t="s">
        <v>36</v>
      </c>
      <c r="B32" s="8">
        <f>COUNTIF('Test Cases'!$B$2:$B$69,A32)</f>
        <v>2</v>
      </c>
      <c r="C32" s="8">
        <f>COUNTIFS('Test Cases'!$B$2:$B$69,$A32,'Test Cases'!$J$2:$J$69,"Pass")</f>
        <v>2</v>
      </c>
      <c r="D32" s="8">
        <f>COUNTIFS('Test Cases'!$B$2:$B$69,$A32,'Test Cases'!$J$2:$J$69,"Fail")</f>
        <v>0</v>
      </c>
      <c r="E32" s="8">
        <f>COUNTIFS('Test Cases'!$B$2:$B$69,$A32,'Test Cases'!$J$2:$J$69,"Partial")</f>
        <v>0</v>
      </c>
      <c r="F32" s="8">
        <f>COUNTIFS('Test Cases'!$B$2:$B$69,$A32,'Test Cases'!$J$2:$J$69,"Blocked")</f>
        <v>0</v>
      </c>
      <c r="G32" s="8">
        <f>COUNTIFS('Test Cases'!$B$2:$B$69,$A32,'Test Cases'!$J$2:$J$69,"Not Executed")</f>
        <v>0</v>
      </c>
      <c r="H32" s="8">
        <f>COUNTIFS('Test Cases'!$B$2:$B$69,$A32,'Test Cases'!$J$2:$J$69,"N/A (Phase 2)")</f>
        <v>0</v>
      </c>
    </row>
    <row r="33" spans="1:8" x14ac:dyDescent="0.3">
      <c r="A33" s="8" t="s">
        <v>37</v>
      </c>
      <c r="B33" s="8">
        <f>COUNTIF('Test Cases'!$B$2:$B$69,A33)</f>
        <v>5</v>
      </c>
      <c r="C33" s="8">
        <f>COUNTIFS('Test Cases'!$B$2:$B$69,$A33,'Test Cases'!$J$2:$J$69,"Pass")</f>
        <v>0</v>
      </c>
      <c r="D33" s="8">
        <f>COUNTIFS('Test Cases'!$B$2:$B$69,$A33,'Test Cases'!$J$2:$J$69,"Fail")</f>
        <v>3</v>
      </c>
      <c r="E33" s="8">
        <f>COUNTIFS('Test Cases'!$B$2:$B$69,$A33,'Test Cases'!$J$2:$J$69,"Partial")</f>
        <v>1</v>
      </c>
      <c r="F33" s="8">
        <f>COUNTIFS('Test Cases'!$B$2:$B$69,$A33,'Test Cases'!$J$2:$J$69,"Blocked")</f>
        <v>0</v>
      </c>
      <c r="G33" s="8">
        <f>COUNTIFS('Test Cases'!$B$2:$B$69,$A33,'Test Cases'!$J$2:$J$69,"Not Executed")</f>
        <v>1</v>
      </c>
      <c r="H33" s="8">
        <f>COUNTIFS('Test Cases'!$B$2:$B$69,$A33,'Test Cases'!$J$2:$J$69,"N/A (Phase 2)")</f>
        <v>0</v>
      </c>
    </row>
    <row r="34" spans="1:8" x14ac:dyDescent="0.3">
      <c r="A34" s="8" t="s">
        <v>38</v>
      </c>
      <c r="B34" s="8">
        <f>COUNTIF('Test Cases'!$B$2:$B$69,A34)</f>
        <v>2</v>
      </c>
      <c r="C34" s="8">
        <f>COUNTIFS('Test Cases'!$B$2:$B$69,$A34,'Test Cases'!$J$2:$J$69,"Pass")</f>
        <v>1</v>
      </c>
      <c r="D34" s="8">
        <f>COUNTIFS('Test Cases'!$B$2:$B$69,$A34,'Test Cases'!$J$2:$J$69,"Fail")</f>
        <v>0</v>
      </c>
      <c r="E34" s="8">
        <f>COUNTIFS('Test Cases'!$B$2:$B$69,$A34,'Test Cases'!$J$2:$J$69,"Partial")</f>
        <v>1</v>
      </c>
      <c r="F34" s="8">
        <f>COUNTIFS('Test Cases'!$B$2:$B$69,$A34,'Test Cases'!$J$2:$J$69,"Blocked")</f>
        <v>0</v>
      </c>
      <c r="G34" s="8">
        <f>COUNTIFS('Test Cases'!$B$2:$B$69,$A34,'Test Cases'!$J$2:$J$69,"Not Executed")</f>
        <v>0</v>
      </c>
      <c r="H34" s="8">
        <f>COUNTIFS('Test Cases'!$B$2:$B$69,$A34,'Test Cases'!$J$2:$J$69,"N/A (Phase 2)")</f>
        <v>0</v>
      </c>
    </row>
    <row r="35" spans="1:8" x14ac:dyDescent="0.3">
      <c r="A35" s="8" t="s">
        <v>39</v>
      </c>
      <c r="B35" s="8">
        <f>COUNTIF('Test Cases'!$B$2:$B$69,A35)</f>
        <v>2</v>
      </c>
      <c r="C35" s="8">
        <f>COUNTIFS('Test Cases'!$B$2:$B$69,$A35,'Test Cases'!$J$2:$J$69,"Pass")</f>
        <v>2</v>
      </c>
      <c r="D35" s="8">
        <f>COUNTIFS('Test Cases'!$B$2:$B$69,$A35,'Test Cases'!$J$2:$J$69,"Fail")</f>
        <v>0</v>
      </c>
      <c r="E35" s="8">
        <f>COUNTIFS('Test Cases'!$B$2:$B$69,$A35,'Test Cases'!$J$2:$J$69,"Partial")</f>
        <v>0</v>
      </c>
      <c r="F35" s="8">
        <f>COUNTIFS('Test Cases'!$B$2:$B$69,$A35,'Test Cases'!$J$2:$J$69,"Blocked")</f>
        <v>0</v>
      </c>
      <c r="G35" s="8">
        <f>COUNTIFS('Test Cases'!$B$2:$B$69,$A35,'Test Cases'!$J$2:$J$69,"Not Executed")</f>
        <v>0</v>
      </c>
      <c r="H35" s="8">
        <f>COUNTIFS('Test Cases'!$B$2:$B$69,$A35,'Test Cases'!$J$2:$J$69,"N/A (Phase 2)")</f>
        <v>0</v>
      </c>
    </row>
    <row r="36" spans="1:8" x14ac:dyDescent="0.3">
      <c r="A36" s="8" t="s">
        <v>40</v>
      </c>
      <c r="B36" s="8">
        <f>COUNTIF('Test Cases'!$B$2:$B$69,A36)</f>
        <v>1</v>
      </c>
      <c r="C36" s="8">
        <f>COUNTIFS('Test Cases'!$B$2:$B$69,$A36,'Test Cases'!$J$2:$J$69,"Pass")</f>
        <v>1</v>
      </c>
      <c r="D36" s="8">
        <f>COUNTIFS('Test Cases'!$B$2:$B$69,$A36,'Test Cases'!$J$2:$J$69,"Fail")</f>
        <v>0</v>
      </c>
      <c r="E36" s="8">
        <f>COUNTIFS('Test Cases'!$B$2:$B$69,$A36,'Test Cases'!$J$2:$J$69,"Partial")</f>
        <v>0</v>
      </c>
      <c r="F36" s="8">
        <f>COUNTIFS('Test Cases'!$B$2:$B$69,$A36,'Test Cases'!$J$2:$J$69,"Blocked")</f>
        <v>0</v>
      </c>
      <c r="G36" s="8">
        <f>COUNTIFS('Test Cases'!$B$2:$B$69,$A36,'Test Cases'!$J$2:$J$69,"Not Executed")</f>
        <v>0</v>
      </c>
      <c r="H36" s="8">
        <f>COUNTIFS('Test Cases'!$B$2:$B$69,$A36,'Test Cases'!$J$2:$J$69,"N/A (Phase 2)")</f>
        <v>0</v>
      </c>
    </row>
    <row r="37" spans="1:8" x14ac:dyDescent="0.3">
      <c r="A37" s="8" t="s">
        <v>41</v>
      </c>
      <c r="B37" s="8">
        <f>COUNTIF('Test Cases'!$B$2:$B$69,A37)</f>
        <v>6</v>
      </c>
      <c r="C37" s="8">
        <f>COUNTIFS('Test Cases'!$B$2:$B$69,$A37,'Test Cases'!$J$2:$J$69,"Pass")</f>
        <v>5</v>
      </c>
      <c r="D37" s="8">
        <f>COUNTIFS('Test Cases'!$B$2:$B$69,$A37,'Test Cases'!$J$2:$J$69,"Fail")</f>
        <v>1</v>
      </c>
      <c r="E37" s="8">
        <f>COUNTIFS('Test Cases'!$B$2:$B$69,$A37,'Test Cases'!$J$2:$J$69,"Partial")</f>
        <v>0</v>
      </c>
      <c r="F37" s="8">
        <f>COUNTIFS('Test Cases'!$B$2:$B$69,$A37,'Test Cases'!$J$2:$J$69,"Blocked")</f>
        <v>0</v>
      </c>
      <c r="G37" s="8">
        <f>COUNTIFS('Test Cases'!$B$2:$B$69,$A37,'Test Cases'!$J$2:$J$69,"Not Executed")</f>
        <v>0</v>
      </c>
      <c r="H37" s="8">
        <f>COUNTIFS('Test Cases'!$B$2:$B$69,$A37,'Test Cases'!$J$2:$J$69,"N/A (Phase 2)")</f>
        <v>0</v>
      </c>
    </row>
    <row r="38" spans="1:8" x14ac:dyDescent="0.3">
      <c r="A38" s="8" t="s">
        <v>42</v>
      </c>
      <c r="B38" s="8">
        <f>COUNTIF('Test Cases'!$B$2:$B$69,A38)</f>
        <v>3</v>
      </c>
      <c r="C38" s="8">
        <f>COUNTIFS('Test Cases'!$B$2:$B$69,$A38,'Test Cases'!$J$2:$J$69,"Pass")</f>
        <v>1</v>
      </c>
      <c r="D38" s="8">
        <f>COUNTIFS('Test Cases'!$B$2:$B$69,$A38,'Test Cases'!$J$2:$J$69,"Fail")</f>
        <v>1</v>
      </c>
      <c r="E38" s="8">
        <f>COUNTIFS('Test Cases'!$B$2:$B$69,$A38,'Test Cases'!$J$2:$J$69,"Partial")</f>
        <v>1</v>
      </c>
      <c r="F38" s="8">
        <f>COUNTIFS('Test Cases'!$B$2:$B$69,$A38,'Test Cases'!$J$2:$J$69,"Blocked")</f>
        <v>0</v>
      </c>
      <c r="G38" s="8">
        <f>COUNTIFS('Test Cases'!$B$2:$B$69,$A38,'Test Cases'!$J$2:$J$69,"Not Executed")</f>
        <v>0</v>
      </c>
      <c r="H38" s="8">
        <f>COUNTIFS('Test Cases'!$B$2:$B$69,$A38,'Test Cases'!$J$2:$J$69,"N/A (Phase 2)")</f>
        <v>0</v>
      </c>
    </row>
    <row r="39" spans="1:8" x14ac:dyDescent="0.3">
      <c r="A39" s="8" t="s">
        <v>43</v>
      </c>
      <c r="B39" s="8">
        <f>COUNTIF('Test Cases'!$B$2:$B$69,A39)</f>
        <v>1</v>
      </c>
      <c r="C39" s="8">
        <f>COUNTIFS('Test Cases'!$B$2:$B$69,$A39,'Test Cases'!$J$2:$J$69,"Pass")</f>
        <v>0</v>
      </c>
      <c r="D39" s="8">
        <f>COUNTIFS('Test Cases'!$B$2:$B$69,$A39,'Test Cases'!$J$2:$J$69,"Fail")</f>
        <v>0</v>
      </c>
      <c r="E39" s="8">
        <f>COUNTIFS('Test Cases'!$B$2:$B$69,$A39,'Test Cases'!$J$2:$J$69,"Partial")</f>
        <v>1</v>
      </c>
      <c r="F39" s="8">
        <f>COUNTIFS('Test Cases'!$B$2:$B$69,$A39,'Test Cases'!$J$2:$J$69,"Blocked")</f>
        <v>0</v>
      </c>
      <c r="G39" s="8">
        <f>COUNTIFS('Test Cases'!$B$2:$B$69,$A39,'Test Cases'!$J$2:$J$69,"Not Executed")</f>
        <v>0</v>
      </c>
      <c r="H39" s="8">
        <f>COUNTIFS('Test Cases'!$B$2:$B$69,$A39,'Test Cases'!$J$2:$J$69,"N/A (Phase 2)")</f>
        <v>0</v>
      </c>
    </row>
    <row r="40" spans="1:8" x14ac:dyDescent="0.3">
      <c r="A40" s="15" t="s">
        <v>22</v>
      </c>
      <c r="B40" s="15">
        <f t="shared" ref="B40:H40" si="1">SUM(B22:B39)</f>
        <v>68</v>
      </c>
      <c r="C40" s="15">
        <f t="shared" si="1"/>
        <v>34</v>
      </c>
      <c r="D40" s="15">
        <f t="shared" si="1"/>
        <v>12</v>
      </c>
      <c r="E40" s="15">
        <f t="shared" si="1"/>
        <v>14</v>
      </c>
      <c r="F40" s="15">
        <f t="shared" si="1"/>
        <v>3</v>
      </c>
      <c r="G40" s="15">
        <f t="shared" si="1"/>
        <v>4</v>
      </c>
      <c r="H40" s="15">
        <f t="shared" si="1"/>
        <v>1</v>
      </c>
    </row>
    <row r="43" spans="1:8" ht="15.6" x14ac:dyDescent="0.3">
      <c r="A43" s="18" t="s">
        <v>44</v>
      </c>
    </row>
    <row r="44" spans="1:8" ht="27.75" customHeight="1" x14ac:dyDescent="0.3">
      <c r="A44" s="1" t="s">
        <v>45</v>
      </c>
      <c r="B44" s="1"/>
      <c r="C44" s="1"/>
      <c r="D44" s="1"/>
      <c r="E44" s="1"/>
      <c r="F44" s="1"/>
      <c r="G44" s="1"/>
      <c r="H44" s="1"/>
    </row>
    <row r="45" spans="1:8" ht="27.75" customHeight="1" x14ac:dyDescent="0.3">
      <c r="A45" s="1" t="s">
        <v>46</v>
      </c>
      <c r="B45" s="1"/>
      <c r="C45" s="1"/>
      <c r="D45" s="1"/>
      <c r="E45" s="1"/>
      <c r="F45" s="1"/>
      <c r="G45" s="1"/>
      <c r="H45" s="1"/>
    </row>
    <row r="46" spans="1:8" ht="27.75" customHeight="1" x14ac:dyDescent="0.3">
      <c r="A46" s="1" t="s">
        <v>47</v>
      </c>
      <c r="B46" s="1"/>
      <c r="C46" s="1"/>
      <c r="D46" s="1"/>
      <c r="E46" s="1"/>
      <c r="F46" s="1"/>
      <c r="G46" s="1"/>
      <c r="H46" s="1"/>
    </row>
    <row r="47" spans="1:8" ht="27.75" customHeight="1" x14ac:dyDescent="0.3">
      <c r="A47" s="1" t="s">
        <v>48</v>
      </c>
      <c r="B47" s="1"/>
      <c r="C47" s="1"/>
      <c r="D47" s="1"/>
      <c r="E47" s="1"/>
      <c r="F47" s="1"/>
      <c r="G47" s="1"/>
      <c r="H47" s="1"/>
    </row>
    <row r="48" spans="1:8" ht="27.75" customHeight="1" x14ac:dyDescent="0.3">
      <c r="A48" s="1" t="s">
        <v>49</v>
      </c>
      <c r="B48" s="1"/>
      <c r="C48" s="1"/>
      <c r="D48" s="1"/>
      <c r="E48" s="1"/>
      <c r="F48" s="1"/>
      <c r="G48" s="1"/>
      <c r="H48" s="1"/>
    </row>
    <row r="49" spans="1:8" ht="27.75" customHeight="1" x14ac:dyDescent="0.3">
      <c r="A49" s="1" t="s">
        <v>50</v>
      </c>
      <c r="B49" s="1"/>
      <c r="C49" s="1"/>
      <c r="D49" s="1"/>
      <c r="E49" s="1"/>
      <c r="F49" s="1"/>
      <c r="G49" s="1"/>
      <c r="H49" s="1"/>
    </row>
    <row r="50" spans="1:8" ht="27.75" customHeight="1" x14ac:dyDescent="0.3">
      <c r="A50" s="1" t="s">
        <v>51</v>
      </c>
      <c r="B50" s="1"/>
      <c r="C50" s="1"/>
      <c r="D50" s="1"/>
      <c r="E50" s="1"/>
      <c r="F50" s="1"/>
      <c r="G50" s="1"/>
      <c r="H50" s="1"/>
    </row>
    <row r="51" spans="1:8" ht="27.75" customHeight="1" x14ac:dyDescent="0.3">
      <c r="A51" s="1" t="s">
        <v>52</v>
      </c>
      <c r="B51" s="1"/>
      <c r="C51" s="1"/>
      <c r="D51" s="1"/>
      <c r="E51" s="1"/>
      <c r="F51" s="1"/>
      <c r="G51" s="1"/>
      <c r="H51" s="1"/>
    </row>
    <row r="52" spans="1:8" ht="27.75" customHeight="1" x14ac:dyDescent="0.3">
      <c r="A52" s="1" t="s">
        <v>53</v>
      </c>
      <c r="B52" s="1"/>
      <c r="C52" s="1"/>
      <c r="D52" s="1"/>
      <c r="E52" s="1"/>
      <c r="F52" s="1"/>
      <c r="G52" s="1"/>
      <c r="H52" s="1"/>
    </row>
    <row r="53" spans="1:8" ht="27.75" customHeight="1" x14ac:dyDescent="0.3">
      <c r="A53" s="1" t="s">
        <v>54</v>
      </c>
      <c r="B53" s="1"/>
      <c r="C53" s="1"/>
      <c r="D53" s="1"/>
      <c r="E53" s="1"/>
      <c r="F53" s="1"/>
      <c r="G53" s="1"/>
      <c r="H53" s="1"/>
    </row>
    <row r="56" spans="1:8" ht="15.6" x14ac:dyDescent="0.3">
      <c r="A56" s="18" t="s">
        <v>55</v>
      </c>
    </row>
    <row r="57" spans="1:8" x14ac:dyDescent="0.3">
      <c r="A57" s="6" t="s">
        <v>56</v>
      </c>
      <c r="B57" s="6" t="s">
        <v>57</v>
      </c>
      <c r="C57" s="6" t="s">
        <v>16</v>
      </c>
      <c r="D57" s="6" t="s">
        <v>17</v>
      </c>
      <c r="E57" s="6" t="s">
        <v>18</v>
      </c>
    </row>
    <row r="58" spans="1:8" x14ac:dyDescent="0.3">
      <c r="A58" s="8" t="s">
        <v>58</v>
      </c>
      <c r="B58" s="8">
        <f>COUNTIF('Role Workflow Tests'!$B$2:$B$31,A58)</f>
        <v>3</v>
      </c>
      <c r="C58" s="8">
        <f>COUNTIFS('Role Workflow Tests'!$B$2:$B$31,$A58,'Role Workflow Tests'!$I$2:$I$31,"Pass")</f>
        <v>3</v>
      </c>
      <c r="D58" s="8">
        <f>COUNTIFS('Role Workflow Tests'!$B$2:$B$31,$A58,'Role Workflow Tests'!$I$2:$I$31,"Fail")</f>
        <v>0</v>
      </c>
      <c r="E58" s="8">
        <f>COUNTIFS('Role Workflow Tests'!$B$2:$B$31,$A58,'Role Workflow Tests'!$I$2:$I$31,"Partial")</f>
        <v>0</v>
      </c>
    </row>
    <row r="59" spans="1:8" x14ac:dyDescent="0.3">
      <c r="A59" s="8" t="s">
        <v>59</v>
      </c>
      <c r="B59" s="8">
        <f>COUNTIF('Role Workflow Tests'!$B$2:$B$31,A59)</f>
        <v>8</v>
      </c>
      <c r="C59" s="8">
        <f>COUNTIFS('Role Workflow Tests'!$B$2:$B$31,$A59,'Role Workflow Tests'!$I$2:$I$31,"Pass")</f>
        <v>7</v>
      </c>
      <c r="D59" s="8">
        <f>COUNTIFS('Role Workflow Tests'!$B$2:$B$31,$A59,'Role Workflow Tests'!$I$2:$I$31,"Fail")</f>
        <v>0</v>
      </c>
      <c r="E59" s="8">
        <f>COUNTIFS('Role Workflow Tests'!$B$2:$B$31,$A59,'Role Workflow Tests'!$I$2:$I$31,"Partial")</f>
        <v>1</v>
      </c>
    </row>
    <row r="60" spans="1:8" x14ac:dyDescent="0.3">
      <c r="A60" s="8" t="s">
        <v>60</v>
      </c>
      <c r="B60" s="8">
        <f>COUNTIF('Role Workflow Tests'!$B$2:$B$31,A60)</f>
        <v>3</v>
      </c>
      <c r="C60" s="8">
        <f>COUNTIFS('Role Workflow Tests'!$B$2:$B$31,$A60,'Role Workflow Tests'!$I$2:$I$31,"Pass")</f>
        <v>2</v>
      </c>
      <c r="D60" s="8">
        <f>COUNTIFS('Role Workflow Tests'!$B$2:$B$31,$A60,'Role Workflow Tests'!$I$2:$I$31,"Fail")</f>
        <v>0</v>
      </c>
      <c r="E60" s="8">
        <f>COUNTIFS('Role Workflow Tests'!$B$2:$B$31,$A60,'Role Workflow Tests'!$I$2:$I$31,"Partial")</f>
        <v>1</v>
      </c>
    </row>
    <row r="61" spans="1:8" x14ac:dyDescent="0.3">
      <c r="A61" s="8" t="s">
        <v>61</v>
      </c>
      <c r="B61" s="8">
        <f>COUNTIF('Role Workflow Tests'!$B$2:$B$31,A61)</f>
        <v>5</v>
      </c>
      <c r="C61" s="8">
        <f>COUNTIFS('Role Workflow Tests'!$B$2:$B$31,$A61,'Role Workflow Tests'!$I$2:$I$31,"Pass")</f>
        <v>5</v>
      </c>
      <c r="D61" s="8">
        <f>COUNTIFS('Role Workflow Tests'!$B$2:$B$31,$A61,'Role Workflow Tests'!$I$2:$I$31,"Fail")</f>
        <v>0</v>
      </c>
      <c r="E61" s="8">
        <f>COUNTIFS('Role Workflow Tests'!$B$2:$B$31,$A61,'Role Workflow Tests'!$I$2:$I$31,"Partial")</f>
        <v>0</v>
      </c>
    </row>
    <row r="62" spans="1:8" x14ac:dyDescent="0.3">
      <c r="A62" s="8" t="s">
        <v>62</v>
      </c>
      <c r="B62" s="8">
        <f>COUNTIF('Role Workflow Tests'!$B$2:$B$31,A62)</f>
        <v>3</v>
      </c>
      <c r="C62" s="8">
        <f>COUNTIFS('Role Workflow Tests'!$B$2:$B$31,$A62,'Role Workflow Tests'!$I$2:$I$31,"Pass")</f>
        <v>1</v>
      </c>
      <c r="D62" s="8">
        <f>COUNTIFS('Role Workflow Tests'!$B$2:$B$31,$A62,'Role Workflow Tests'!$I$2:$I$31,"Fail")</f>
        <v>2</v>
      </c>
      <c r="E62" s="8">
        <f>COUNTIFS('Role Workflow Tests'!$B$2:$B$31,$A62,'Role Workflow Tests'!$I$2:$I$31,"Partial")</f>
        <v>0</v>
      </c>
    </row>
    <row r="63" spans="1:8" x14ac:dyDescent="0.3">
      <c r="A63" s="8" t="s">
        <v>63</v>
      </c>
      <c r="B63" s="8">
        <f>COUNTIF('Role Workflow Tests'!$B$2:$B$31,A63)</f>
        <v>3</v>
      </c>
      <c r="C63" s="8">
        <f>COUNTIFS('Role Workflow Tests'!$B$2:$B$31,$A63,'Role Workflow Tests'!$I$2:$I$31,"Pass")</f>
        <v>2</v>
      </c>
      <c r="D63" s="8">
        <f>COUNTIFS('Role Workflow Tests'!$B$2:$B$31,$A63,'Role Workflow Tests'!$I$2:$I$31,"Fail")</f>
        <v>1</v>
      </c>
      <c r="E63" s="8">
        <f>COUNTIFS('Role Workflow Tests'!$B$2:$B$31,$A63,'Role Workflow Tests'!$I$2:$I$31,"Partial")</f>
        <v>0</v>
      </c>
    </row>
    <row r="64" spans="1:8" x14ac:dyDescent="0.3">
      <c r="A64" s="8" t="s">
        <v>64</v>
      </c>
      <c r="B64" s="8">
        <f>COUNTIF('Role Workflow Tests'!$B$2:$B$31,A64)</f>
        <v>5</v>
      </c>
      <c r="C64" s="8">
        <f>COUNTIFS('Role Workflow Tests'!$B$2:$B$31,$A64,'Role Workflow Tests'!$I$2:$I$31,"Pass")</f>
        <v>4</v>
      </c>
      <c r="D64" s="8">
        <f>COUNTIFS('Role Workflow Tests'!$B$2:$B$31,$A64,'Role Workflow Tests'!$I$2:$I$31,"Fail")</f>
        <v>1</v>
      </c>
      <c r="E64" s="8">
        <f>COUNTIFS('Role Workflow Tests'!$B$2:$B$31,$A64,'Role Workflow Tests'!$I$2:$I$31,"Partial")</f>
        <v>0</v>
      </c>
    </row>
    <row r="65" spans="1:5" x14ac:dyDescent="0.3">
      <c r="A65" s="15" t="s">
        <v>22</v>
      </c>
      <c r="B65" s="15">
        <f>SUM(B58:B64)</f>
        <v>30</v>
      </c>
      <c r="C65" s="15">
        <f>SUM(C58:C64)</f>
        <v>24</v>
      </c>
      <c r="D65" s="15">
        <f>SUM(D58:D64)</f>
        <v>4</v>
      </c>
      <c r="E65" s="15">
        <f>SUM(E58:E64)</f>
        <v>2</v>
      </c>
    </row>
  </sheetData>
  <mergeCells count="10">
    <mergeCell ref="A49:H49"/>
    <mergeCell ref="A50:H50"/>
    <mergeCell ref="A51:H51"/>
    <mergeCell ref="A52:H52"/>
    <mergeCell ref="A53:H53"/>
    <mergeCell ref="A44:H44"/>
    <mergeCell ref="A45:H45"/>
    <mergeCell ref="A46:H46"/>
    <mergeCell ref="A47:H47"/>
    <mergeCell ref="A48:H4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"/>
  <sheetViews>
    <sheetView tabSelected="1"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G10" sqref="G10"/>
    </sheetView>
  </sheetViews>
  <sheetFormatPr defaultColWidth="8.6640625" defaultRowHeight="14.4" x14ac:dyDescent="0.3"/>
  <cols>
    <col min="1" max="1" width="11" customWidth="1"/>
    <col min="2" max="2" width="17" customWidth="1"/>
    <col min="3" max="3" width="16" customWidth="1"/>
    <col min="4" max="4" width="8" customWidth="1"/>
    <col min="5" max="5" width="38" customWidth="1"/>
    <col min="6" max="6" width="30" customWidth="1"/>
    <col min="7" max="7" width="34" customWidth="1"/>
    <col min="8" max="8" width="38" customWidth="1"/>
    <col min="9" max="9" width="55" customWidth="1"/>
    <col min="10" max="10" width="12" customWidth="1"/>
    <col min="11" max="11" width="16" customWidth="1"/>
  </cols>
  <sheetData>
    <row r="1" spans="1:11" ht="26.4" x14ac:dyDescent="0.3">
      <c r="A1" s="19" t="s">
        <v>65</v>
      </c>
      <c r="B1" s="19" t="s">
        <v>25</v>
      </c>
      <c r="C1" s="19" t="s">
        <v>66</v>
      </c>
      <c r="D1" s="19" t="s">
        <v>67</v>
      </c>
      <c r="E1" s="19" t="s">
        <v>68</v>
      </c>
      <c r="F1" s="19" t="s">
        <v>69</v>
      </c>
      <c r="G1" s="19" t="s">
        <v>70</v>
      </c>
      <c r="H1" s="19" t="s">
        <v>71</v>
      </c>
      <c r="I1" s="19" t="s">
        <v>72</v>
      </c>
      <c r="J1" s="19" t="s">
        <v>13</v>
      </c>
      <c r="K1" s="19" t="s">
        <v>73</v>
      </c>
    </row>
    <row r="2" spans="1:11" ht="45.6" x14ac:dyDescent="0.3">
      <c r="A2" s="20" t="s">
        <v>74</v>
      </c>
      <c r="B2" s="20" t="s">
        <v>26</v>
      </c>
      <c r="C2" s="20" t="s">
        <v>75</v>
      </c>
      <c r="D2" s="20" t="s">
        <v>76</v>
      </c>
      <c r="E2" s="20" t="s">
        <v>77</v>
      </c>
      <c r="F2" s="20" t="s">
        <v>78</v>
      </c>
      <c r="G2" s="20" t="s">
        <v>79</v>
      </c>
      <c r="H2" s="20" t="s">
        <v>80</v>
      </c>
      <c r="I2" s="20" t="s">
        <v>81</v>
      </c>
      <c r="J2" s="21" t="s">
        <v>16</v>
      </c>
      <c r="K2" s="20" t="s">
        <v>82</v>
      </c>
    </row>
    <row r="3" spans="1:11" ht="22.8" x14ac:dyDescent="0.3">
      <c r="A3" s="20" t="s">
        <v>83</v>
      </c>
      <c r="B3" s="20" t="s">
        <v>26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88</v>
      </c>
      <c r="H3" s="20" t="s">
        <v>89</v>
      </c>
      <c r="I3" s="20" t="s">
        <v>90</v>
      </c>
      <c r="J3" s="21" t="s">
        <v>16</v>
      </c>
      <c r="K3" s="20"/>
    </row>
    <row r="4" spans="1:11" ht="34.200000000000003" x14ac:dyDescent="0.3">
      <c r="A4" s="20" t="s">
        <v>91</v>
      </c>
      <c r="B4" s="20" t="s">
        <v>26</v>
      </c>
      <c r="C4" s="20" t="s">
        <v>92</v>
      </c>
      <c r="D4" s="20" t="s">
        <v>76</v>
      </c>
      <c r="E4" s="20" t="s">
        <v>93</v>
      </c>
      <c r="F4" s="20" t="s">
        <v>94</v>
      </c>
      <c r="G4" s="20" t="s">
        <v>95</v>
      </c>
      <c r="H4" s="20" t="s">
        <v>96</v>
      </c>
      <c r="I4" s="20" t="s">
        <v>97</v>
      </c>
      <c r="J4" s="21" t="s">
        <v>16</v>
      </c>
      <c r="K4" s="20"/>
    </row>
    <row r="5" spans="1:11" ht="34.200000000000003" x14ac:dyDescent="0.3">
      <c r="A5" s="20" t="s">
        <v>98</v>
      </c>
      <c r="B5" s="20" t="s">
        <v>27</v>
      </c>
      <c r="C5" s="20" t="s">
        <v>99</v>
      </c>
      <c r="D5" s="20" t="s">
        <v>76</v>
      </c>
      <c r="E5" s="20" t="s">
        <v>100</v>
      </c>
      <c r="F5" s="20" t="s">
        <v>101</v>
      </c>
      <c r="G5" s="20" t="s">
        <v>102</v>
      </c>
      <c r="H5" s="20" t="s">
        <v>103</v>
      </c>
      <c r="I5" s="20" t="s">
        <v>104</v>
      </c>
      <c r="J5" s="21" t="s">
        <v>17</v>
      </c>
      <c r="K5" s="20" t="s">
        <v>105</v>
      </c>
    </row>
    <row r="6" spans="1:11" ht="34.200000000000003" x14ac:dyDescent="0.3">
      <c r="A6" s="20" t="s">
        <v>106</v>
      </c>
      <c r="B6" s="20" t="s">
        <v>27</v>
      </c>
      <c r="C6" s="20" t="s">
        <v>99</v>
      </c>
      <c r="D6" s="20" t="s">
        <v>85</v>
      </c>
      <c r="E6" s="20" t="s">
        <v>107</v>
      </c>
      <c r="F6" s="20" t="s">
        <v>108</v>
      </c>
      <c r="G6" s="20" t="s">
        <v>109</v>
      </c>
      <c r="H6" s="20" t="s">
        <v>110</v>
      </c>
      <c r="I6" s="20" t="s">
        <v>111</v>
      </c>
      <c r="J6" s="21" t="s">
        <v>18</v>
      </c>
      <c r="K6" s="20" t="s">
        <v>112</v>
      </c>
    </row>
    <row r="7" spans="1:11" ht="34.200000000000003" x14ac:dyDescent="0.3">
      <c r="A7" s="20" t="s">
        <v>113</v>
      </c>
      <c r="B7" s="20" t="s">
        <v>27</v>
      </c>
      <c r="C7" s="20" t="s">
        <v>99</v>
      </c>
      <c r="D7" s="20" t="s">
        <v>76</v>
      </c>
      <c r="E7" s="20" t="s">
        <v>114</v>
      </c>
      <c r="F7" s="20" t="s">
        <v>115</v>
      </c>
      <c r="G7" s="20" t="s">
        <v>116</v>
      </c>
      <c r="H7" s="20" t="s">
        <v>117</v>
      </c>
      <c r="I7" s="20" t="s">
        <v>118</v>
      </c>
      <c r="J7" s="21" t="s">
        <v>18</v>
      </c>
      <c r="K7" s="20" t="s">
        <v>119</v>
      </c>
    </row>
    <row r="8" spans="1:11" ht="34.200000000000003" x14ac:dyDescent="0.3">
      <c r="A8" s="20" t="s">
        <v>120</v>
      </c>
      <c r="B8" s="20" t="s">
        <v>27</v>
      </c>
      <c r="C8" s="20" t="s">
        <v>99</v>
      </c>
      <c r="D8" s="20" t="s">
        <v>85</v>
      </c>
      <c r="E8" s="20" t="s">
        <v>121</v>
      </c>
      <c r="F8" s="20" t="s">
        <v>122</v>
      </c>
      <c r="G8" s="20" t="s">
        <v>123</v>
      </c>
      <c r="H8" s="20" t="s">
        <v>124</v>
      </c>
      <c r="I8" s="20" t="s">
        <v>125</v>
      </c>
      <c r="J8" s="21" t="s">
        <v>16</v>
      </c>
      <c r="K8" s="20"/>
    </row>
    <row r="9" spans="1:11" ht="34.200000000000003" x14ac:dyDescent="0.3">
      <c r="A9" s="20" t="s">
        <v>126</v>
      </c>
      <c r="B9" s="20" t="s">
        <v>27</v>
      </c>
      <c r="C9" s="20" t="s">
        <v>127</v>
      </c>
      <c r="D9" s="20" t="s">
        <v>76</v>
      </c>
      <c r="E9" s="20" t="s">
        <v>128</v>
      </c>
      <c r="F9" s="20" t="s">
        <v>129</v>
      </c>
      <c r="G9" s="20" t="s">
        <v>130</v>
      </c>
      <c r="H9" s="20" t="s">
        <v>131</v>
      </c>
      <c r="I9" s="20" t="s">
        <v>132</v>
      </c>
      <c r="J9" s="21" t="s">
        <v>16</v>
      </c>
      <c r="K9" s="20"/>
    </row>
    <row r="10" spans="1:11" ht="45.6" x14ac:dyDescent="0.3">
      <c r="A10" s="20" t="s">
        <v>133</v>
      </c>
      <c r="B10" s="20" t="s">
        <v>28</v>
      </c>
      <c r="C10" s="20" t="s">
        <v>134</v>
      </c>
      <c r="D10" s="20" t="s">
        <v>85</v>
      </c>
      <c r="E10" s="20" t="s">
        <v>135</v>
      </c>
      <c r="F10" s="27" t="s">
        <v>136</v>
      </c>
      <c r="G10" s="20" t="s">
        <v>137</v>
      </c>
      <c r="H10" s="20" t="s">
        <v>138</v>
      </c>
      <c r="I10" s="20" t="s">
        <v>139</v>
      </c>
      <c r="J10" s="21" t="s">
        <v>18</v>
      </c>
      <c r="K10" s="20" t="s">
        <v>140</v>
      </c>
    </row>
    <row r="11" spans="1:11" ht="45.6" x14ac:dyDescent="0.3">
      <c r="A11" s="20" t="s">
        <v>141</v>
      </c>
      <c r="B11" s="20" t="s">
        <v>28</v>
      </c>
      <c r="C11" s="20" t="s">
        <v>142</v>
      </c>
      <c r="D11" s="20" t="s">
        <v>85</v>
      </c>
      <c r="E11" s="20" t="s">
        <v>143</v>
      </c>
      <c r="F11" s="20" t="s">
        <v>144</v>
      </c>
      <c r="G11" s="20" t="s">
        <v>145</v>
      </c>
      <c r="H11" s="20" t="s">
        <v>146</v>
      </c>
      <c r="I11" s="20" t="s">
        <v>147</v>
      </c>
      <c r="J11" s="21" t="s">
        <v>18</v>
      </c>
      <c r="K11" s="20" t="s">
        <v>148</v>
      </c>
    </row>
    <row r="12" spans="1:11" ht="34.200000000000003" x14ac:dyDescent="0.3">
      <c r="A12" s="20" t="s">
        <v>149</v>
      </c>
      <c r="B12" s="20" t="s">
        <v>28</v>
      </c>
      <c r="C12" s="20" t="s">
        <v>134</v>
      </c>
      <c r="D12" s="20" t="s">
        <v>85</v>
      </c>
      <c r="E12" s="20" t="s">
        <v>150</v>
      </c>
      <c r="F12" s="20" t="s">
        <v>151</v>
      </c>
      <c r="G12" s="20" t="s">
        <v>152</v>
      </c>
      <c r="H12" s="20" t="s">
        <v>153</v>
      </c>
      <c r="I12" s="20" t="s">
        <v>154</v>
      </c>
      <c r="J12" s="21" t="s">
        <v>16</v>
      </c>
      <c r="K12" s="20"/>
    </row>
    <row r="13" spans="1:11" ht="45.6" x14ac:dyDescent="0.3">
      <c r="A13" s="20" t="s">
        <v>155</v>
      </c>
      <c r="B13" s="20" t="s">
        <v>29</v>
      </c>
      <c r="C13" s="20" t="s">
        <v>156</v>
      </c>
      <c r="D13" s="20" t="s">
        <v>76</v>
      </c>
      <c r="E13" s="20" t="s">
        <v>157</v>
      </c>
      <c r="F13" s="20" t="s">
        <v>158</v>
      </c>
      <c r="G13" s="20" t="s">
        <v>159</v>
      </c>
      <c r="H13" s="20" t="s">
        <v>160</v>
      </c>
      <c r="I13" s="20" t="s">
        <v>161</v>
      </c>
      <c r="J13" s="21" t="s">
        <v>16</v>
      </c>
      <c r="K13" s="20"/>
    </row>
    <row r="14" spans="1:11" ht="22.8" x14ac:dyDescent="0.3">
      <c r="A14" s="20" t="s">
        <v>162</v>
      </c>
      <c r="B14" s="20" t="s">
        <v>29</v>
      </c>
      <c r="C14" s="20" t="s">
        <v>163</v>
      </c>
      <c r="D14" s="20" t="s">
        <v>76</v>
      </c>
      <c r="E14" s="20" t="s">
        <v>164</v>
      </c>
      <c r="F14" s="20" t="s">
        <v>158</v>
      </c>
      <c r="G14" s="20" t="s">
        <v>165</v>
      </c>
      <c r="H14" s="20" t="s">
        <v>166</v>
      </c>
      <c r="I14" s="20" t="s">
        <v>167</v>
      </c>
      <c r="J14" s="21" t="s">
        <v>16</v>
      </c>
      <c r="K14" s="20"/>
    </row>
    <row r="15" spans="1:11" ht="34.200000000000003" x14ac:dyDescent="0.3">
      <c r="A15" s="20" t="s">
        <v>168</v>
      </c>
      <c r="B15" s="20" t="s">
        <v>29</v>
      </c>
      <c r="C15" s="20" t="s">
        <v>169</v>
      </c>
      <c r="D15" s="20" t="s">
        <v>76</v>
      </c>
      <c r="E15" s="20" t="s">
        <v>170</v>
      </c>
      <c r="F15" s="20" t="s">
        <v>158</v>
      </c>
      <c r="G15" s="20" t="s">
        <v>171</v>
      </c>
      <c r="H15" s="20" t="s">
        <v>172</v>
      </c>
      <c r="I15" s="20" t="s">
        <v>173</v>
      </c>
      <c r="J15" s="21" t="s">
        <v>16</v>
      </c>
      <c r="K15" s="20" t="s">
        <v>174</v>
      </c>
    </row>
    <row r="16" spans="1:11" ht="45.6" x14ac:dyDescent="0.3">
      <c r="A16" s="20" t="s">
        <v>175</v>
      </c>
      <c r="B16" s="20" t="s">
        <v>29</v>
      </c>
      <c r="C16" s="20" t="s">
        <v>176</v>
      </c>
      <c r="D16" s="20" t="s">
        <v>76</v>
      </c>
      <c r="E16" s="20" t="s">
        <v>177</v>
      </c>
      <c r="F16" s="20" t="s">
        <v>178</v>
      </c>
      <c r="G16" s="20" t="s">
        <v>179</v>
      </c>
      <c r="H16" s="20" t="s">
        <v>180</v>
      </c>
      <c r="I16" s="20" t="s">
        <v>181</v>
      </c>
      <c r="J16" s="21" t="s">
        <v>16</v>
      </c>
      <c r="K16" s="20" t="s">
        <v>182</v>
      </c>
    </row>
    <row r="17" spans="1:11" ht="45.6" x14ac:dyDescent="0.3">
      <c r="A17" s="20" t="s">
        <v>183</v>
      </c>
      <c r="B17" s="20" t="s">
        <v>29</v>
      </c>
      <c r="C17" s="20" t="s">
        <v>184</v>
      </c>
      <c r="D17" s="20" t="s">
        <v>76</v>
      </c>
      <c r="E17" s="20" t="s">
        <v>185</v>
      </c>
      <c r="F17" s="20" t="s">
        <v>186</v>
      </c>
      <c r="G17" s="20" t="s">
        <v>187</v>
      </c>
      <c r="H17" s="20" t="s">
        <v>188</v>
      </c>
      <c r="I17" s="20" t="s">
        <v>189</v>
      </c>
      <c r="J17" s="21" t="s">
        <v>18</v>
      </c>
      <c r="K17" s="20" t="s">
        <v>190</v>
      </c>
    </row>
    <row r="18" spans="1:11" ht="22.8" x14ac:dyDescent="0.3">
      <c r="A18" s="20" t="s">
        <v>191</v>
      </c>
      <c r="B18" s="20" t="s">
        <v>29</v>
      </c>
      <c r="C18" s="20" t="s">
        <v>163</v>
      </c>
      <c r="D18" s="20" t="s">
        <v>76</v>
      </c>
      <c r="E18" s="20" t="s">
        <v>192</v>
      </c>
      <c r="F18" s="20" t="s">
        <v>158</v>
      </c>
      <c r="G18" s="20" t="s">
        <v>193</v>
      </c>
      <c r="H18" s="20" t="s">
        <v>194</v>
      </c>
      <c r="I18" s="20" t="s">
        <v>195</v>
      </c>
      <c r="J18" s="21" t="s">
        <v>16</v>
      </c>
      <c r="K18" s="20"/>
    </row>
    <row r="19" spans="1:11" ht="22.8" x14ac:dyDescent="0.3">
      <c r="A19" s="20" t="s">
        <v>196</v>
      </c>
      <c r="B19" s="20" t="s">
        <v>29</v>
      </c>
      <c r="C19" s="20" t="s">
        <v>163</v>
      </c>
      <c r="D19" s="20" t="s">
        <v>76</v>
      </c>
      <c r="E19" s="20" t="s">
        <v>197</v>
      </c>
      <c r="F19" s="20" t="s">
        <v>158</v>
      </c>
      <c r="G19" s="20" t="s">
        <v>198</v>
      </c>
      <c r="H19" s="20" t="s">
        <v>199</v>
      </c>
      <c r="I19" s="20" t="s">
        <v>200</v>
      </c>
      <c r="J19" s="21" t="s">
        <v>16</v>
      </c>
      <c r="K19" s="20"/>
    </row>
    <row r="20" spans="1:11" ht="34.200000000000003" x14ac:dyDescent="0.3">
      <c r="A20" s="20" t="s">
        <v>201</v>
      </c>
      <c r="B20" s="20" t="s">
        <v>29</v>
      </c>
      <c r="C20" s="20" t="s">
        <v>202</v>
      </c>
      <c r="D20" s="20" t="s">
        <v>76</v>
      </c>
      <c r="E20" s="20" t="s">
        <v>203</v>
      </c>
      <c r="F20" s="20" t="s">
        <v>158</v>
      </c>
      <c r="G20" s="20" t="s">
        <v>204</v>
      </c>
      <c r="H20" s="20" t="s">
        <v>205</v>
      </c>
      <c r="I20" s="20" t="s">
        <v>206</v>
      </c>
      <c r="J20" s="21" t="s">
        <v>16</v>
      </c>
      <c r="K20" s="20" t="s">
        <v>207</v>
      </c>
    </row>
    <row r="21" spans="1:11" ht="45.6" x14ac:dyDescent="0.3">
      <c r="A21" s="20" t="s">
        <v>208</v>
      </c>
      <c r="B21" s="20" t="s">
        <v>29</v>
      </c>
      <c r="C21" s="20" t="s">
        <v>209</v>
      </c>
      <c r="D21" s="20" t="s">
        <v>76</v>
      </c>
      <c r="E21" s="20" t="s">
        <v>210</v>
      </c>
      <c r="F21" s="20" t="s">
        <v>211</v>
      </c>
      <c r="G21" s="20" t="s">
        <v>212</v>
      </c>
      <c r="H21" s="20" t="s">
        <v>213</v>
      </c>
      <c r="I21" s="20" t="s">
        <v>214</v>
      </c>
      <c r="J21" s="21" t="s">
        <v>16</v>
      </c>
      <c r="K21" s="20" t="s">
        <v>215</v>
      </c>
    </row>
    <row r="22" spans="1:11" ht="45.6" x14ac:dyDescent="0.3">
      <c r="A22" s="20" t="s">
        <v>216</v>
      </c>
      <c r="B22" s="20" t="s">
        <v>29</v>
      </c>
      <c r="C22" s="20" t="s">
        <v>217</v>
      </c>
      <c r="D22" s="20" t="s">
        <v>76</v>
      </c>
      <c r="E22" s="20" t="s">
        <v>218</v>
      </c>
      <c r="F22" s="20" t="s">
        <v>219</v>
      </c>
      <c r="G22" s="20" t="s">
        <v>220</v>
      </c>
      <c r="H22" s="20" t="s">
        <v>221</v>
      </c>
      <c r="I22" s="20" t="s">
        <v>222</v>
      </c>
      <c r="J22" s="21" t="s">
        <v>17</v>
      </c>
      <c r="K22" s="20" t="s">
        <v>223</v>
      </c>
    </row>
    <row r="23" spans="1:11" ht="45.6" x14ac:dyDescent="0.3">
      <c r="A23" s="20" t="s">
        <v>224</v>
      </c>
      <c r="B23" s="20" t="s">
        <v>30</v>
      </c>
      <c r="C23" s="20" t="s">
        <v>225</v>
      </c>
      <c r="D23" s="20" t="s">
        <v>76</v>
      </c>
      <c r="E23" s="20" t="s">
        <v>226</v>
      </c>
      <c r="F23" s="20" t="s">
        <v>227</v>
      </c>
      <c r="G23" s="20" t="s">
        <v>228</v>
      </c>
      <c r="H23" s="20" t="s">
        <v>229</v>
      </c>
      <c r="I23" s="20" t="s">
        <v>230</v>
      </c>
      <c r="J23" s="21" t="s">
        <v>18</v>
      </c>
      <c r="K23" s="20" t="s">
        <v>231</v>
      </c>
    </row>
    <row r="24" spans="1:11" ht="22.8" x14ac:dyDescent="0.3">
      <c r="A24" s="20" t="s">
        <v>232</v>
      </c>
      <c r="B24" s="20" t="s">
        <v>31</v>
      </c>
      <c r="C24" s="20" t="s">
        <v>233</v>
      </c>
      <c r="D24" s="20" t="s">
        <v>85</v>
      </c>
      <c r="E24" s="20" t="s">
        <v>234</v>
      </c>
      <c r="F24" s="20" t="s">
        <v>235</v>
      </c>
      <c r="G24" s="20" t="s">
        <v>236</v>
      </c>
      <c r="H24" s="20" t="s">
        <v>237</v>
      </c>
      <c r="I24" s="20" t="s">
        <v>238</v>
      </c>
      <c r="J24" s="21" t="s">
        <v>17</v>
      </c>
      <c r="K24" s="20" t="s">
        <v>239</v>
      </c>
    </row>
    <row r="25" spans="1:11" ht="45.6" x14ac:dyDescent="0.3">
      <c r="A25" s="20" t="s">
        <v>240</v>
      </c>
      <c r="B25" s="20" t="s">
        <v>31</v>
      </c>
      <c r="C25" s="20" t="s">
        <v>241</v>
      </c>
      <c r="D25" s="20" t="s">
        <v>76</v>
      </c>
      <c r="E25" s="20" t="s">
        <v>242</v>
      </c>
      <c r="F25" s="20" t="s">
        <v>243</v>
      </c>
      <c r="G25" s="20" t="s">
        <v>244</v>
      </c>
      <c r="H25" s="20" t="s">
        <v>245</v>
      </c>
      <c r="I25" s="20" t="s">
        <v>246</v>
      </c>
      <c r="J25" s="21" t="s">
        <v>18</v>
      </c>
      <c r="K25" s="20" t="s">
        <v>190</v>
      </c>
    </row>
    <row r="26" spans="1:11" ht="34.200000000000003" x14ac:dyDescent="0.3">
      <c r="A26" s="20" t="s">
        <v>247</v>
      </c>
      <c r="B26" s="20" t="s">
        <v>29</v>
      </c>
      <c r="C26" s="20" t="s">
        <v>217</v>
      </c>
      <c r="D26" s="20" t="s">
        <v>76</v>
      </c>
      <c r="E26" s="20" t="s">
        <v>248</v>
      </c>
      <c r="F26" s="20" t="s">
        <v>249</v>
      </c>
      <c r="G26" s="20" t="s">
        <v>250</v>
      </c>
      <c r="H26" s="20" t="s">
        <v>251</v>
      </c>
      <c r="I26" s="20" t="s">
        <v>252</v>
      </c>
      <c r="J26" s="21" t="s">
        <v>16</v>
      </c>
      <c r="K26" s="20" t="s">
        <v>253</v>
      </c>
    </row>
    <row r="27" spans="1:11" ht="34.200000000000003" x14ac:dyDescent="0.3">
      <c r="A27" s="20" t="s">
        <v>254</v>
      </c>
      <c r="B27" s="20" t="s">
        <v>29</v>
      </c>
      <c r="C27" s="20" t="s">
        <v>255</v>
      </c>
      <c r="D27" s="20" t="s">
        <v>256</v>
      </c>
      <c r="E27" s="20" t="s">
        <v>257</v>
      </c>
      <c r="F27" s="20" t="s">
        <v>258</v>
      </c>
      <c r="G27" s="20" t="s">
        <v>259</v>
      </c>
      <c r="H27" s="20" t="s">
        <v>260</v>
      </c>
      <c r="I27" s="20" t="s">
        <v>261</v>
      </c>
      <c r="J27" s="21" t="s">
        <v>16</v>
      </c>
      <c r="K27" s="20"/>
    </row>
    <row r="28" spans="1:11" ht="22.8" x14ac:dyDescent="0.3">
      <c r="A28" s="20" t="s">
        <v>262</v>
      </c>
      <c r="B28" s="20" t="s">
        <v>32</v>
      </c>
      <c r="C28" s="20" t="s">
        <v>263</v>
      </c>
      <c r="D28" s="20" t="s">
        <v>76</v>
      </c>
      <c r="E28" s="20" t="s">
        <v>264</v>
      </c>
      <c r="F28" s="20" t="s">
        <v>265</v>
      </c>
      <c r="G28" s="20" t="s">
        <v>266</v>
      </c>
      <c r="H28" s="20" t="s">
        <v>267</v>
      </c>
      <c r="I28" s="20" t="s">
        <v>268</v>
      </c>
      <c r="J28" s="21" t="s">
        <v>16</v>
      </c>
      <c r="K28" s="20"/>
    </row>
    <row r="29" spans="1:11" ht="22.8" x14ac:dyDescent="0.3">
      <c r="A29" s="20" t="s">
        <v>269</v>
      </c>
      <c r="B29" s="20" t="s">
        <v>32</v>
      </c>
      <c r="C29" s="20" t="s">
        <v>270</v>
      </c>
      <c r="D29" s="20" t="s">
        <v>256</v>
      </c>
      <c r="E29" s="20" t="s">
        <v>271</v>
      </c>
      <c r="F29" s="20" t="s">
        <v>272</v>
      </c>
      <c r="G29" s="20" t="s">
        <v>272</v>
      </c>
      <c r="H29" s="20" t="s">
        <v>273</v>
      </c>
      <c r="I29" s="20" t="s">
        <v>274</v>
      </c>
      <c r="J29" s="21" t="s">
        <v>21</v>
      </c>
      <c r="K29" s="20"/>
    </row>
    <row r="30" spans="1:11" ht="45.6" x14ac:dyDescent="0.3">
      <c r="A30" s="20" t="s">
        <v>275</v>
      </c>
      <c r="B30" s="20" t="s">
        <v>32</v>
      </c>
      <c r="C30" s="20" t="s">
        <v>276</v>
      </c>
      <c r="D30" s="20" t="s">
        <v>76</v>
      </c>
      <c r="E30" s="20" t="s">
        <v>277</v>
      </c>
      <c r="F30" s="20" t="s">
        <v>278</v>
      </c>
      <c r="G30" s="20" t="s">
        <v>279</v>
      </c>
      <c r="H30" s="20" t="s">
        <v>280</v>
      </c>
      <c r="I30" s="20" t="s">
        <v>281</v>
      </c>
      <c r="J30" s="21" t="s">
        <v>16</v>
      </c>
      <c r="K30" s="20" t="s">
        <v>282</v>
      </c>
    </row>
    <row r="31" spans="1:11" ht="34.200000000000003" x14ac:dyDescent="0.3">
      <c r="A31" s="20" t="s">
        <v>283</v>
      </c>
      <c r="B31" s="20" t="s">
        <v>32</v>
      </c>
      <c r="C31" s="20" t="s">
        <v>284</v>
      </c>
      <c r="D31" s="20" t="s">
        <v>85</v>
      </c>
      <c r="E31" s="20" t="s">
        <v>285</v>
      </c>
      <c r="F31" s="20" t="s">
        <v>286</v>
      </c>
      <c r="G31" s="20" t="s">
        <v>287</v>
      </c>
      <c r="H31" s="20" t="s">
        <v>288</v>
      </c>
      <c r="I31" s="20" t="s">
        <v>289</v>
      </c>
      <c r="J31" s="21" t="s">
        <v>19</v>
      </c>
      <c r="K31" s="20" t="s">
        <v>290</v>
      </c>
    </row>
    <row r="32" spans="1:11" ht="45.6" x14ac:dyDescent="0.3">
      <c r="A32" s="20" t="s">
        <v>291</v>
      </c>
      <c r="B32" s="20" t="s">
        <v>32</v>
      </c>
      <c r="C32" s="20" t="s">
        <v>292</v>
      </c>
      <c r="D32" s="20" t="s">
        <v>76</v>
      </c>
      <c r="E32" s="20" t="s">
        <v>293</v>
      </c>
      <c r="F32" s="20" t="s">
        <v>294</v>
      </c>
      <c r="G32" s="20" t="s">
        <v>295</v>
      </c>
      <c r="H32" s="20" t="s">
        <v>296</v>
      </c>
      <c r="I32" s="20" t="s">
        <v>297</v>
      </c>
      <c r="J32" s="21" t="s">
        <v>17</v>
      </c>
      <c r="K32" s="20" t="s">
        <v>298</v>
      </c>
    </row>
    <row r="33" spans="1:11" ht="22.8" x14ac:dyDescent="0.3">
      <c r="A33" s="20" t="s">
        <v>299</v>
      </c>
      <c r="B33" s="20" t="s">
        <v>32</v>
      </c>
      <c r="C33" s="20" t="s">
        <v>300</v>
      </c>
      <c r="D33" s="20" t="s">
        <v>256</v>
      </c>
      <c r="E33" s="20" t="s">
        <v>301</v>
      </c>
      <c r="F33" s="20" t="s">
        <v>302</v>
      </c>
      <c r="G33" s="20" t="s">
        <v>303</v>
      </c>
      <c r="H33" s="20" t="s">
        <v>304</v>
      </c>
      <c r="I33" s="20" t="s">
        <v>305</v>
      </c>
      <c r="J33" s="21" t="s">
        <v>16</v>
      </c>
      <c r="K33" s="20"/>
    </row>
    <row r="34" spans="1:11" ht="34.200000000000003" x14ac:dyDescent="0.3">
      <c r="A34" s="20" t="s">
        <v>306</v>
      </c>
      <c r="B34" s="20" t="s">
        <v>33</v>
      </c>
      <c r="C34" s="20" t="s">
        <v>307</v>
      </c>
      <c r="D34" s="20" t="s">
        <v>76</v>
      </c>
      <c r="E34" s="20" t="s">
        <v>308</v>
      </c>
      <c r="F34" s="20" t="s">
        <v>309</v>
      </c>
      <c r="G34" s="20" t="s">
        <v>310</v>
      </c>
      <c r="H34" s="20" t="s">
        <v>311</v>
      </c>
      <c r="I34" s="20" t="s">
        <v>312</v>
      </c>
      <c r="J34" s="21" t="s">
        <v>20</v>
      </c>
      <c r="K34" s="20" t="s">
        <v>215</v>
      </c>
    </row>
    <row r="35" spans="1:11" ht="45.6" x14ac:dyDescent="0.3">
      <c r="A35" s="20" t="s">
        <v>313</v>
      </c>
      <c r="B35" s="20" t="s">
        <v>33</v>
      </c>
      <c r="C35" s="20" t="s">
        <v>314</v>
      </c>
      <c r="D35" s="20" t="s">
        <v>76</v>
      </c>
      <c r="E35" s="20" t="s">
        <v>315</v>
      </c>
      <c r="F35" s="20" t="s">
        <v>316</v>
      </c>
      <c r="G35" s="20" t="s">
        <v>317</v>
      </c>
      <c r="H35" s="20" t="s">
        <v>318</v>
      </c>
      <c r="I35" s="20" t="s">
        <v>319</v>
      </c>
      <c r="J35" s="21" t="s">
        <v>20</v>
      </c>
      <c r="K35" s="20"/>
    </row>
    <row r="36" spans="1:11" ht="45.6" x14ac:dyDescent="0.3">
      <c r="A36" s="20" t="s">
        <v>320</v>
      </c>
      <c r="B36" s="20" t="s">
        <v>33</v>
      </c>
      <c r="C36" s="20" t="s">
        <v>321</v>
      </c>
      <c r="D36" s="20" t="s">
        <v>76</v>
      </c>
      <c r="E36" s="20" t="s">
        <v>322</v>
      </c>
      <c r="F36" s="20" t="s">
        <v>323</v>
      </c>
      <c r="G36" s="20" t="s">
        <v>324</v>
      </c>
      <c r="H36" s="20" t="s">
        <v>325</v>
      </c>
      <c r="I36" s="20" t="s">
        <v>326</v>
      </c>
      <c r="J36" s="21" t="s">
        <v>19</v>
      </c>
      <c r="K36" s="20" t="s">
        <v>327</v>
      </c>
    </row>
    <row r="37" spans="1:11" ht="34.200000000000003" x14ac:dyDescent="0.3">
      <c r="A37" s="20" t="s">
        <v>328</v>
      </c>
      <c r="B37" s="20" t="s">
        <v>33</v>
      </c>
      <c r="C37" s="20" t="s">
        <v>329</v>
      </c>
      <c r="D37" s="20" t="s">
        <v>76</v>
      </c>
      <c r="E37" s="20" t="s">
        <v>330</v>
      </c>
      <c r="F37" s="20" t="s">
        <v>331</v>
      </c>
      <c r="G37" s="20" t="s">
        <v>332</v>
      </c>
      <c r="H37" s="20" t="s">
        <v>333</v>
      </c>
      <c r="I37" s="20" t="s">
        <v>334</v>
      </c>
      <c r="J37" s="21" t="s">
        <v>20</v>
      </c>
      <c r="K37" s="20" t="s">
        <v>335</v>
      </c>
    </row>
    <row r="38" spans="1:11" ht="34.200000000000003" x14ac:dyDescent="0.3">
      <c r="A38" s="20" t="s">
        <v>336</v>
      </c>
      <c r="B38" s="20" t="s">
        <v>33</v>
      </c>
      <c r="C38" s="20" t="s">
        <v>337</v>
      </c>
      <c r="D38" s="20" t="s">
        <v>85</v>
      </c>
      <c r="E38" s="20" t="s">
        <v>338</v>
      </c>
      <c r="F38" s="20" t="s">
        <v>339</v>
      </c>
      <c r="G38" s="20" t="s">
        <v>340</v>
      </c>
      <c r="H38" s="20" t="s">
        <v>341</v>
      </c>
      <c r="I38" s="20" t="s">
        <v>342</v>
      </c>
      <c r="J38" s="21" t="s">
        <v>18</v>
      </c>
      <c r="K38" s="20" t="s">
        <v>343</v>
      </c>
    </row>
    <row r="39" spans="1:11" ht="22.8" x14ac:dyDescent="0.3">
      <c r="A39" s="20" t="s">
        <v>344</v>
      </c>
      <c r="B39" s="20" t="s">
        <v>34</v>
      </c>
      <c r="C39" s="20" t="s">
        <v>345</v>
      </c>
      <c r="D39" s="20" t="s">
        <v>76</v>
      </c>
      <c r="E39" s="20" t="s">
        <v>346</v>
      </c>
      <c r="F39" s="20" t="s">
        <v>347</v>
      </c>
      <c r="G39" s="20" t="s">
        <v>348</v>
      </c>
      <c r="H39" s="20" t="s">
        <v>349</v>
      </c>
      <c r="I39" s="20" t="s">
        <v>350</v>
      </c>
      <c r="J39" s="21" t="s">
        <v>16</v>
      </c>
      <c r="K39" s="20"/>
    </row>
    <row r="40" spans="1:11" ht="68.400000000000006" x14ac:dyDescent="0.3">
      <c r="A40" s="20" t="s">
        <v>351</v>
      </c>
      <c r="B40" s="20" t="s">
        <v>34</v>
      </c>
      <c r="C40" s="20" t="s">
        <v>352</v>
      </c>
      <c r="D40" s="20" t="s">
        <v>76</v>
      </c>
      <c r="E40" s="20" t="s">
        <v>353</v>
      </c>
      <c r="F40" s="20" t="s">
        <v>354</v>
      </c>
      <c r="G40" s="20" t="s">
        <v>355</v>
      </c>
      <c r="H40" s="20" t="s">
        <v>356</v>
      </c>
      <c r="I40" s="20" t="s">
        <v>357</v>
      </c>
      <c r="J40" s="21" t="s">
        <v>16</v>
      </c>
      <c r="K40" s="20" t="s">
        <v>358</v>
      </c>
    </row>
    <row r="41" spans="1:11" ht="45.6" x14ac:dyDescent="0.3">
      <c r="A41" s="20" t="s">
        <v>359</v>
      </c>
      <c r="B41" s="20" t="s">
        <v>34</v>
      </c>
      <c r="C41" s="20" t="s">
        <v>360</v>
      </c>
      <c r="D41" s="20" t="s">
        <v>76</v>
      </c>
      <c r="E41" s="20" t="s">
        <v>361</v>
      </c>
      <c r="F41" s="20" t="s">
        <v>362</v>
      </c>
      <c r="G41" s="20" t="s">
        <v>363</v>
      </c>
      <c r="H41" s="20" t="s">
        <v>364</v>
      </c>
      <c r="I41" s="20" t="s">
        <v>365</v>
      </c>
      <c r="J41" s="21" t="s">
        <v>16</v>
      </c>
      <c r="K41" s="20" t="s">
        <v>366</v>
      </c>
    </row>
    <row r="42" spans="1:11" ht="22.8" x14ac:dyDescent="0.3">
      <c r="A42" s="20" t="s">
        <v>367</v>
      </c>
      <c r="B42" s="20" t="s">
        <v>35</v>
      </c>
      <c r="C42" s="20" t="s">
        <v>368</v>
      </c>
      <c r="D42" s="20" t="s">
        <v>85</v>
      </c>
      <c r="E42" s="20" t="s">
        <v>369</v>
      </c>
      <c r="F42" s="20" t="s">
        <v>370</v>
      </c>
      <c r="G42" s="20" t="s">
        <v>371</v>
      </c>
      <c r="H42" s="20" t="s">
        <v>372</v>
      </c>
      <c r="I42" s="20" t="s">
        <v>373</v>
      </c>
      <c r="J42" s="21" t="s">
        <v>17</v>
      </c>
      <c r="K42" s="20" t="s">
        <v>374</v>
      </c>
    </row>
    <row r="43" spans="1:11" ht="45.6" x14ac:dyDescent="0.3">
      <c r="A43" s="20" t="s">
        <v>375</v>
      </c>
      <c r="B43" s="20" t="s">
        <v>35</v>
      </c>
      <c r="C43" s="20" t="s">
        <v>376</v>
      </c>
      <c r="D43" s="20" t="s">
        <v>76</v>
      </c>
      <c r="E43" s="20" t="s">
        <v>377</v>
      </c>
      <c r="F43" s="20" t="s">
        <v>258</v>
      </c>
      <c r="G43" s="20" t="s">
        <v>378</v>
      </c>
      <c r="H43" s="20" t="s">
        <v>379</v>
      </c>
      <c r="I43" s="20" t="s">
        <v>380</v>
      </c>
      <c r="J43" s="21" t="s">
        <v>17</v>
      </c>
      <c r="K43" s="20" t="s">
        <v>381</v>
      </c>
    </row>
    <row r="44" spans="1:11" ht="22.8" x14ac:dyDescent="0.3">
      <c r="A44" s="20" t="s">
        <v>382</v>
      </c>
      <c r="B44" s="20" t="s">
        <v>35</v>
      </c>
      <c r="C44" s="20" t="s">
        <v>383</v>
      </c>
      <c r="D44" s="20" t="s">
        <v>76</v>
      </c>
      <c r="E44" s="20" t="s">
        <v>384</v>
      </c>
      <c r="F44" s="20" t="s">
        <v>385</v>
      </c>
      <c r="G44" s="20" t="s">
        <v>386</v>
      </c>
      <c r="H44" s="20" t="s">
        <v>387</v>
      </c>
      <c r="I44" s="20" t="s">
        <v>388</v>
      </c>
      <c r="J44" s="21" t="s">
        <v>19</v>
      </c>
      <c r="K44" s="20" t="s">
        <v>381</v>
      </c>
    </row>
    <row r="45" spans="1:11" ht="22.8" x14ac:dyDescent="0.3">
      <c r="A45" s="20" t="s">
        <v>389</v>
      </c>
      <c r="B45" s="20" t="s">
        <v>35</v>
      </c>
      <c r="C45" s="20" t="s">
        <v>383</v>
      </c>
      <c r="D45" s="20" t="s">
        <v>85</v>
      </c>
      <c r="E45" s="20" t="s">
        <v>390</v>
      </c>
      <c r="F45" s="20" t="s">
        <v>391</v>
      </c>
      <c r="G45" s="20" t="s">
        <v>392</v>
      </c>
      <c r="H45" s="20" t="s">
        <v>393</v>
      </c>
      <c r="I45" s="20" t="s">
        <v>394</v>
      </c>
      <c r="J45" s="21" t="s">
        <v>18</v>
      </c>
      <c r="K45" s="20" t="s">
        <v>381</v>
      </c>
    </row>
    <row r="46" spans="1:11" ht="34.200000000000003" x14ac:dyDescent="0.3">
      <c r="A46" s="20" t="s">
        <v>395</v>
      </c>
      <c r="B46" s="20" t="s">
        <v>35</v>
      </c>
      <c r="C46" s="20" t="s">
        <v>376</v>
      </c>
      <c r="D46" s="20" t="s">
        <v>76</v>
      </c>
      <c r="E46" s="20" t="s">
        <v>396</v>
      </c>
      <c r="F46" s="20" t="s">
        <v>397</v>
      </c>
      <c r="G46" s="20" t="s">
        <v>398</v>
      </c>
      <c r="H46" s="20" t="s">
        <v>399</v>
      </c>
      <c r="I46" s="20" t="s">
        <v>400</v>
      </c>
      <c r="J46" s="21" t="s">
        <v>17</v>
      </c>
      <c r="K46" s="20" t="s">
        <v>401</v>
      </c>
    </row>
    <row r="47" spans="1:11" ht="22.8" x14ac:dyDescent="0.3">
      <c r="A47" s="20" t="s">
        <v>402</v>
      </c>
      <c r="B47" s="20" t="s">
        <v>36</v>
      </c>
      <c r="C47" s="20" t="s">
        <v>403</v>
      </c>
      <c r="D47" s="20" t="s">
        <v>85</v>
      </c>
      <c r="E47" s="20" t="s">
        <v>404</v>
      </c>
      <c r="F47" s="20" t="s">
        <v>405</v>
      </c>
      <c r="G47" s="20" t="s">
        <v>406</v>
      </c>
      <c r="H47" s="20" t="s">
        <v>407</v>
      </c>
      <c r="I47" s="20" t="s">
        <v>408</v>
      </c>
      <c r="J47" s="21" t="s">
        <v>16</v>
      </c>
      <c r="K47" s="20"/>
    </row>
    <row r="48" spans="1:11" ht="34.200000000000003" x14ac:dyDescent="0.3">
      <c r="A48" s="20" t="s">
        <v>409</v>
      </c>
      <c r="B48" s="20" t="s">
        <v>36</v>
      </c>
      <c r="C48" s="20" t="s">
        <v>410</v>
      </c>
      <c r="D48" s="20" t="s">
        <v>76</v>
      </c>
      <c r="E48" s="20" t="s">
        <v>411</v>
      </c>
      <c r="F48" s="20" t="s">
        <v>412</v>
      </c>
      <c r="G48" s="20" t="s">
        <v>413</v>
      </c>
      <c r="H48" s="20" t="s">
        <v>414</v>
      </c>
      <c r="I48" s="20" t="s">
        <v>415</v>
      </c>
      <c r="J48" s="21" t="s">
        <v>16</v>
      </c>
      <c r="K48" s="20" t="s">
        <v>416</v>
      </c>
    </row>
    <row r="49" spans="1:11" ht="34.200000000000003" x14ac:dyDescent="0.3">
      <c r="A49" s="20" t="s">
        <v>417</v>
      </c>
      <c r="B49" s="20" t="s">
        <v>37</v>
      </c>
      <c r="C49" s="20" t="s">
        <v>418</v>
      </c>
      <c r="D49" s="20" t="s">
        <v>76</v>
      </c>
      <c r="E49" s="20" t="s">
        <v>419</v>
      </c>
      <c r="F49" s="20" t="s">
        <v>420</v>
      </c>
      <c r="G49" s="20" t="s">
        <v>421</v>
      </c>
      <c r="H49" s="20" t="s">
        <v>422</v>
      </c>
      <c r="I49" s="20" t="s">
        <v>423</v>
      </c>
      <c r="J49" s="21" t="s">
        <v>17</v>
      </c>
      <c r="K49" s="20" t="s">
        <v>424</v>
      </c>
    </row>
    <row r="50" spans="1:11" ht="34.200000000000003" x14ac:dyDescent="0.3">
      <c r="A50" s="20" t="s">
        <v>425</v>
      </c>
      <c r="B50" s="20" t="s">
        <v>37</v>
      </c>
      <c r="C50" s="20" t="s">
        <v>426</v>
      </c>
      <c r="D50" s="20" t="s">
        <v>76</v>
      </c>
      <c r="E50" s="20" t="s">
        <v>427</v>
      </c>
      <c r="F50" s="20" t="s">
        <v>428</v>
      </c>
      <c r="G50" s="20" t="s">
        <v>429</v>
      </c>
      <c r="H50" s="20" t="s">
        <v>430</v>
      </c>
      <c r="I50" s="20" t="s">
        <v>431</v>
      </c>
      <c r="J50" s="21" t="s">
        <v>17</v>
      </c>
      <c r="K50" s="20" t="s">
        <v>424</v>
      </c>
    </row>
    <row r="51" spans="1:11" ht="22.8" x14ac:dyDescent="0.3">
      <c r="A51" s="20" t="s">
        <v>432</v>
      </c>
      <c r="B51" s="20" t="s">
        <v>37</v>
      </c>
      <c r="C51" s="20" t="s">
        <v>426</v>
      </c>
      <c r="D51" s="20" t="s">
        <v>76</v>
      </c>
      <c r="E51" s="20" t="s">
        <v>433</v>
      </c>
      <c r="F51" s="20" t="s">
        <v>434</v>
      </c>
      <c r="G51" s="20" t="s">
        <v>435</v>
      </c>
      <c r="H51" s="20" t="s">
        <v>436</v>
      </c>
      <c r="I51" s="20" t="s">
        <v>437</v>
      </c>
      <c r="J51" s="21" t="s">
        <v>17</v>
      </c>
      <c r="K51" s="20" t="s">
        <v>438</v>
      </c>
    </row>
    <row r="52" spans="1:11" ht="34.200000000000003" x14ac:dyDescent="0.3">
      <c r="A52" s="20" t="s">
        <v>439</v>
      </c>
      <c r="B52" s="20" t="s">
        <v>37</v>
      </c>
      <c r="C52" s="20" t="s">
        <v>426</v>
      </c>
      <c r="D52" s="20" t="s">
        <v>76</v>
      </c>
      <c r="E52" s="20" t="s">
        <v>440</v>
      </c>
      <c r="F52" s="20" t="s">
        <v>441</v>
      </c>
      <c r="G52" s="20" t="s">
        <v>442</v>
      </c>
      <c r="H52" s="20" t="s">
        <v>443</v>
      </c>
      <c r="I52" s="20" t="s">
        <v>444</v>
      </c>
      <c r="J52" s="21" t="s">
        <v>20</v>
      </c>
      <c r="K52" s="20" t="s">
        <v>445</v>
      </c>
    </row>
    <row r="53" spans="1:11" ht="34.200000000000003" x14ac:dyDescent="0.3">
      <c r="A53" s="20" t="s">
        <v>446</v>
      </c>
      <c r="B53" s="20" t="s">
        <v>37</v>
      </c>
      <c r="C53" s="20" t="s">
        <v>447</v>
      </c>
      <c r="D53" s="20" t="s">
        <v>85</v>
      </c>
      <c r="E53" s="20" t="s">
        <v>448</v>
      </c>
      <c r="F53" s="20" t="s">
        <v>449</v>
      </c>
      <c r="G53" s="20" t="s">
        <v>450</v>
      </c>
      <c r="H53" s="20" t="s">
        <v>451</v>
      </c>
      <c r="I53" s="20" t="s">
        <v>452</v>
      </c>
      <c r="J53" s="21" t="s">
        <v>18</v>
      </c>
      <c r="K53" s="20" t="s">
        <v>424</v>
      </c>
    </row>
    <row r="54" spans="1:11" ht="22.8" x14ac:dyDescent="0.3">
      <c r="A54" s="20" t="s">
        <v>453</v>
      </c>
      <c r="B54" s="20" t="s">
        <v>38</v>
      </c>
      <c r="C54" s="20" t="s">
        <v>454</v>
      </c>
      <c r="D54" s="20" t="s">
        <v>76</v>
      </c>
      <c r="E54" s="20" t="s">
        <v>455</v>
      </c>
      <c r="F54" s="20" t="s">
        <v>456</v>
      </c>
      <c r="G54" s="20" t="s">
        <v>457</v>
      </c>
      <c r="H54" s="20" t="s">
        <v>458</v>
      </c>
      <c r="I54" s="20" t="s">
        <v>459</v>
      </c>
      <c r="J54" s="21" t="s">
        <v>16</v>
      </c>
      <c r="K54" s="20"/>
    </row>
    <row r="55" spans="1:11" ht="79.8" x14ac:dyDescent="0.3">
      <c r="A55" s="20" t="s">
        <v>460</v>
      </c>
      <c r="B55" s="20" t="s">
        <v>38</v>
      </c>
      <c r="C55" s="20" t="s">
        <v>461</v>
      </c>
      <c r="D55" s="20" t="s">
        <v>76</v>
      </c>
      <c r="E55" s="20" t="s">
        <v>462</v>
      </c>
      <c r="F55" s="20" t="s">
        <v>463</v>
      </c>
      <c r="G55" s="20" t="s">
        <v>464</v>
      </c>
      <c r="H55" s="20" t="s">
        <v>465</v>
      </c>
      <c r="I55" s="20" t="s">
        <v>466</v>
      </c>
      <c r="J55" s="21" t="s">
        <v>18</v>
      </c>
      <c r="K55" s="20" t="s">
        <v>467</v>
      </c>
    </row>
    <row r="56" spans="1:11" ht="45.6" x14ac:dyDescent="0.3">
      <c r="A56" s="20" t="s">
        <v>468</v>
      </c>
      <c r="B56" s="20" t="s">
        <v>39</v>
      </c>
      <c r="C56" s="20" t="s">
        <v>469</v>
      </c>
      <c r="D56" s="20" t="s">
        <v>85</v>
      </c>
      <c r="E56" s="20" t="s">
        <v>470</v>
      </c>
      <c r="F56" s="20" t="s">
        <v>471</v>
      </c>
      <c r="G56" s="20" t="s">
        <v>472</v>
      </c>
      <c r="H56" s="20" t="s">
        <v>473</v>
      </c>
      <c r="I56" s="20" t="s">
        <v>474</v>
      </c>
      <c r="J56" s="21" t="s">
        <v>16</v>
      </c>
      <c r="K56" s="20"/>
    </row>
    <row r="57" spans="1:11" ht="34.200000000000003" x14ac:dyDescent="0.3">
      <c r="A57" s="20" t="s">
        <v>475</v>
      </c>
      <c r="B57" s="20" t="s">
        <v>39</v>
      </c>
      <c r="C57" s="20" t="s">
        <v>469</v>
      </c>
      <c r="D57" s="20" t="s">
        <v>85</v>
      </c>
      <c r="E57" s="20" t="s">
        <v>476</v>
      </c>
      <c r="F57" s="20" t="s">
        <v>477</v>
      </c>
      <c r="G57" s="20" t="s">
        <v>478</v>
      </c>
      <c r="H57" s="20" t="s">
        <v>479</v>
      </c>
      <c r="I57" s="20" t="s">
        <v>480</v>
      </c>
      <c r="J57" s="21" t="s">
        <v>16</v>
      </c>
      <c r="K57" s="20"/>
    </row>
    <row r="58" spans="1:11" ht="22.8" x14ac:dyDescent="0.3">
      <c r="A58" s="20" t="s">
        <v>481</v>
      </c>
      <c r="B58" s="20" t="s">
        <v>40</v>
      </c>
      <c r="C58" s="20" t="s">
        <v>482</v>
      </c>
      <c r="D58" s="20" t="s">
        <v>85</v>
      </c>
      <c r="E58" s="20" t="s">
        <v>483</v>
      </c>
      <c r="F58" s="20" t="s">
        <v>484</v>
      </c>
      <c r="G58" s="20" t="s">
        <v>485</v>
      </c>
      <c r="H58" s="20" t="s">
        <v>486</v>
      </c>
      <c r="I58" s="20" t="s">
        <v>487</v>
      </c>
      <c r="J58" s="21" t="s">
        <v>16</v>
      </c>
      <c r="K58" s="20"/>
    </row>
    <row r="59" spans="1:11" ht="34.200000000000003" x14ac:dyDescent="0.3">
      <c r="A59" s="20" t="s">
        <v>488</v>
      </c>
      <c r="B59" s="20" t="s">
        <v>41</v>
      </c>
      <c r="C59" s="20" t="s">
        <v>489</v>
      </c>
      <c r="D59" s="20" t="s">
        <v>76</v>
      </c>
      <c r="E59" s="20" t="s">
        <v>490</v>
      </c>
      <c r="F59" s="20" t="s">
        <v>491</v>
      </c>
      <c r="G59" s="20" t="s">
        <v>492</v>
      </c>
      <c r="H59" s="20" t="s">
        <v>493</v>
      </c>
      <c r="I59" s="20" t="s">
        <v>494</v>
      </c>
      <c r="J59" s="21" t="s">
        <v>16</v>
      </c>
      <c r="K59" s="20"/>
    </row>
    <row r="60" spans="1:11" ht="22.8" x14ac:dyDescent="0.3">
      <c r="A60" s="20" t="s">
        <v>495</v>
      </c>
      <c r="B60" s="20" t="s">
        <v>41</v>
      </c>
      <c r="C60" s="20" t="s">
        <v>489</v>
      </c>
      <c r="D60" s="20" t="s">
        <v>76</v>
      </c>
      <c r="E60" s="20" t="s">
        <v>496</v>
      </c>
      <c r="F60" s="20" t="s">
        <v>497</v>
      </c>
      <c r="G60" s="20" t="s">
        <v>498</v>
      </c>
      <c r="H60" s="20" t="s">
        <v>499</v>
      </c>
      <c r="I60" s="20" t="s">
        <v>500</v>
      </c>
      <c r="J60" s="21" t="s">
        <v>16</v>
      </c>
      <c r="K60" s="20"/>
    </row>
    <row r="61" spans="1:11" ht="34.200000000000003" x14ac:dyDescent="0.3">
      <c r="A61" s="20" t="s">
        <v>501</v>
      </c>
      <c r="B61" s="20" t="s">
        <v>41</v>
      </c>
      <c r="C61" s="20" t="s">
        <v>489</v>
      </c>
      <c r="D61" s="20" t="s">
        <v>76</v>
      </c>
      <c r="E61" s="20" t="s">
        <v>502</v>
      </c>
      <c r="F61" s="20" t="s">
        <v>503</v>
      </c>
      <c r="G61" s="20" t="s">
        <v>504</v>
      </c>
      <c r="H61" s="20" t="s">
        <v>505</v>
      </c>
      <c r="I61" s="20" t="s">
        <v>506</v>
      </c>
      <c r="J61" s="21" t="s">
        <v>16</v>
      </c>
      <c r="K61" s="20"/>
    </row>
    <row r="62" spans="1:11" ht="45.6" x14ac:dyDescent="0.3">
      <c r="A62" s="20" t="s">
        <v>507</v>
      </c>
      <c r="B62" s="20" t="s">
        <v>41</v>
      </c>
      <c r="C62" s="20" t="s">
        <v>489</v>
      </c>
      <c r="D62" s="20" t="s">
        <v>76</v>
      </c>
      <c r="E62" s="20" t="s">
        <v>508</v>
      </c>
      <c r="F62" s="20" t="s">
        <v>509</v>
      </c>
      <c r="G62" s="20" t="s">
        <v>510</v>
      </c>
      <c r="H62" s="20" t="s">
        <v>511</v>
      </c>
      <c r="I62" s="20" t="s">
        <v>512</v>
      </c>
      <c r="J62" s="21" t="s">
        <v>16</v>
      </c>
      <c r="K62" s="20"/>
    </row>
    <row r="63" spans="1:11" ht="68.400000000000006" x14ac:dyDescent="0.3">
      <c r="A63" s="20" t="s">
        <v>513</v>
      </c>
      <c r="B63" s="20" t="s">
        <v>41</v>
      </c>
      <c r="C63" s="20" t="s">
        <v>514</v>
      </c>
      <c r="D63" s="20" t="s">
        <v>76</v>
      </c>
      <c r="E63" s="20" t="s">
        <v>515</v>
      </c>
      <c r="F63" s="20" t="s">
        <v>516</v>
      </c>
      <c r="G63" s="20" t="s">
        <v>517</v>
      </c>
      <c r="H63" s="20" t="s">
        <v>518</v>
      </c>
      <c r="I63" s="20" t="s">
        <v>519</v>
      </c>
      <c r="J63" s="21" t="s">
        <v>16</v>
      </c>
      <c r="K63" s="20" t="s">
        <v>520</v>
      </c>
    </row>
    <row r="64" spans="1:11" ht="57" x14ac:dyDescent="0.3">
      <c r="A64" s="20" t="s">
        <v>521</v>
      </c>
      <c r="B64" s="20" t="s">
        <v>41</v>
      </c>
      <c r="C64" s="20" t="s">
        <v>522</v>
      </c>
      <c r="D64" s="20" t="s">
        <v>76</v>
      </c>
      <c r="E64" s="20" t="s">
        <v>523</v>
      </c>
      <c r="F64" s="20" t="s">
        <v>497</v>
      </c>
      <c r="G64" s="20" t="s">
        <v>524</v>
      </c>
      <c r="H64" s="20" t="s">
        <v>525</v>
      </c>
      <c r="I64" s="20" t="s">
        <v>526</v>
      </c>
      <c r="J64" s="21" t="s">
        <v>17</v>
      </c>
      <c r="K64" s="20" t="s">
        <v>527</v>
      </c>
    </row>
    <row r="65" spans="1:11" ht="91.2" x14ac:dyDescent="0.3">
      <c r="A65" s="20" t="s">
        <v>528</v>
      </c>
      <c r="B65" s="20" t="s">
        <v>31</v>
      </c>
      <c r="C65" s="20" t="s">
        <v>529</v>
      </c>
      <c r="D65" s="20" t="s">
        <v>85</v>
      </c>
      <c r="E65" s="20" t="s">
        <v>530</v>
      </c>
      <c r="F65" s="20" t="s">
        <v>531</v>
      </c>
      <c r="G65" s="20" t="s">
        <v>532</v>
      </c>
      <c r="H65" s="20" t="s">
        <v>533</v>
      </c>
      <c r="I65" s="20" t="s">
        <v>534</v>
      </c>
      <c r="J65" s="21" t="s">
        <v>18</v>
      </c>
      <c r="K65" s="20" t="s">
        <v>535</v>
      </c>
    </row>
    <row r="66" spans="1:11" ht="22.8" x14ac:dyDescent="0.3">
      <c r="A66" s="20" t="s">
        <v>536</v>
      </c>
      <c r="B66" s="20" t="s">
        <v>42</v>
      </c>
      <c r="C66" s="20" t="s">
        <v>537</v>
      </c>
      <c r="D66" s="20" t="s">
        <v>76</v>
      </c>
      <c r="E66" s="20" t="s">
        <v>538</v>
      </c>
      <c r="F66" s="20" t="s">
        <v>539</v>
      </c>
      <c r="G66" s="20" t="s">
        <v>540</v>
      </c>
      <c r="H66" s="20" t="s">
        <v>541</v>
      </c>
      <c r="I66" s="20" t="s">
        <v>542</v>
      </c>
      <c r="J66" s="21" t="s">
        <v>16</v>
      </c>
      <c r="K66" s="20"/>
    </row>
    <row r="67" spans="1:11" ht="45.6" x14ac:dyDescent="0.3">
      <c r="A67" s="20" t="s">
        <v>543</v>
      </c>
      <c r="B67" s="20" t="s">
        <v>42</v>
      </c>
      <c r="C67" s="20" t="s">
        <v>544</v>
      </c>
      <c r="D67" s="20" t="s">
        <v>76</v>
      </c>
      <c r="E67" s="20" t="s">
        <v>545</v>
      </c>
      <c r="F67" s="20" t="s">
        <v>546</v>
      </c>
      <c r="G67" s="20" t="s">
        <v>547</v>
      </c>
      <c r="H67" s="20" t="s">
        <v>548</v>
      </c>
      <c r="I67" s="20" t="s">
        <v>549</v>
      </c>
      <c r="J67" s="21" t="s">
        <v>17</v>
      </c>
      <c r="K67" s="20" t="s">
        <v>527</v>
      </c>
    </row>
    <row r="68" spans="1:11" ht="34.200000000000003" x14ac:dyDescent="0.3">
      <c r="A68" s="20" t="s">
        <v>550</v>
      </c>
      <c r="B68" s="20" t="s">
        <v>42</v>
      </c>
      <c r="C68" s="20" t="s">
        <v>551</v>
      </c>
      <c r="D68" s="20" t="s">
        <v>85</v>
      </c>
      <c r="E68" s="20" t="s">
        <v>552</v>
      </c>
      <c r="F68" s="20" t="s">
        <v>546</v>
      </c>
      <c r="G68" s="20" t="s">
        <v>553</v>
      </c>
      <c r="H68" s="20" t="s">
        <v>554</v>
      </c>
      <c r="I68" s="20" t="s">
        <v>555</v>
      </c>
      <c r="J68" s="21" t="s">
        <v>18</v>
      </c>
      <c r="K68" s="20" t="s">
        <v>556</v>
      </c>
    </row>
    <row r="69" spans="1:11" ht="45.6" x14ac:dyDescent="0.3">
      <c r="A69" s="20" t="s">
        <v>557</v>
      </c>
      <c r="B69" s="20" t="s">
        <v>43</v>
      </c>
      <c r="C69" s="20" t="s">
        <v>558</v>
      </c>
      <c r="D69" s="20" t="s">
        <v>85</v>
      </c>
      <c r="E69" s="20" t="s">
        <v>559</v>
      </c>
      <c r="F69" s="20" t="s">
        <v>560</v>
      </c>
      <c r="G69" s="20" t="s">
        <v>561</v>
      </c>
      <c r="H69" s="20" t="s">
        <v>562</v>
      </c>
      <c r="I69" s="20" t="s">
        <v>563</v>
      </c>
      <c r="J69" s="21" t="s">
        <v>18</v>
      </c>
      <c r="K69" s="20" t="s">
        <v>564</v>
      </c>
    </row>
  </sheetData>
  <autoFilter ref="A1:K69" xr:uid="{00000000-0009-0000-0000-000001000000}"/>
  <conditionalFormatting sqref="J2:J69">
    <cfRule type="cellIs" dxfId="15" priority="2" operator="equal">
      <formula>"Pass"</formula>
    </cfRule>
    <cfRule type="cellIs" dxfId="14" priority="3" operator="equal">
      <formula>"Fail"</formula>
    </cfRule>
    <cfRule type="cellIs" dxfId="13" priority="4" operator="equal">
      <formula>"Partial"</formula>
    </cfRule>
    <cfRule type="cellIs" dxfId="12" priority="5" operator="equal">
      <formula>"Blocked"</formula>
    </cfRule>
    <cfRule type="cellIs" dxfId="11" priority="6" operator="equal">
      <formula>"Not Executed"</formula>
    </cfRule>
    <cfRule type="cellIs" dxfId="10" priority="7" operator="equal">
      <formula>"N/A (Phase 2)"</formula>
    </cfRule>
  </conditionalFormatting>
  <dataValidations count="1">
    <dataValidation type="list" sqref="J2:J69" xr:uid="{00000000-0002-0000-0100-000000000000}">
      <formula1>"Pass,Fail,Partial,Blocked,Not Executed,N/A (Phase 2)"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31"/>
  <sheetViews>
    <sheetView zoomScaleNormal="10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J28" sqref="J28"/>
    </sheetView>
  </sheetViews>
  <sheetFormatPr defaultColWidth="8.6640625" defaultRowHeight="14.4" x14ac:dyDescent="0.3"/>
  <cols>
    <col min="1" max="1" width="8" customWidth="1"/>
    <col min="2" max="2" width="16" customWidth="1"/>
    <col min="3" max="3" width="20" customWidth="1"/>
    <col min="4" max="4" width="34" customWidth="1"/>
    <col min="5" max="5" width="20" customWidth="1"/>
    <col min="6" max="6" width="40" customWidth="1"/>
    <col min="7" max="7" width="34" customWidth="1"/>
    <col min="8" max="8" width="52" customWidth="1"/>
    <col min="9" max="9" width="11" customWidth="1"/>
    <col min="10" max="10" width="12" customWidth="1"/>
  </cols>
  <sheetData>
    <row r="1" spans="1:10" x14ac:dyDescent="0.3">
      <c r="A1" s="19" t="s">
        <v>565</v>
      </c>
      <c r="B1" s="19" t="s">
        <v>56</v>
      </c>
      <c r="C1" s="19" t="s">
        <v>566</v>
      </c>
      <c r="D1" s="19" t="s">
        <v>567</v>
      </c>
      <c r="E1" s="19" t="s">
        <v>568</v>
      </c>
      <c r="F1" s="19" t="s">
        <v>569</v>
      </c>
      <c r="G1" s="19" t="s">
        <v>71</v>
      </c>
      <c r="H1" s="19" t="s">
        <v>72</v>
      </c>
      <c r="I1" s="19" t="s">
        <v>13</v>
      </c>
      <c r="J1" s="19" t="s">
        <v>570</v>
      </c>
    </row>
    <row r="2" spans="1:10" ht="22.8" hidden="1" x14ac:dyDescent="0.3">
      <c r="A2" s="20" t="s">
        <v>571</v>
      </c>
      <c r="B2" s="20" t="s">
        <v>58</v>
      </c>
      <c r="C2" s="20" t="s">
        <v>572</v>
      </c>
      <c r="D2" s="20" t="s">
        <v>573</v>
      </c>
      <c r="E2" s="20" t="s">
        <v>574</v>
      </c>
      <c r="F2" s="20" t="s">
        <v>575</v>
      </c>
      <c r="G2" s="20" t="s">
        <v>576</v>
      </c>
      <c r="H2" s="20" t="s">
        <v>577</v>
      </c>
      <c r="I2" s="21" t="s">
        <v>16</v>
      </c>
      <c r="J2" s="20"/>
    </row>
    <row r="3" spans="1:10" ht="34.200000000000003" hidden="1" x14ac:dyDescent="0.3">
      <c r="A3" s="20" t="s">
        <v>578</v>
      </c>
      <c r="B3" s="20" t="s">
        <v>58</v>
      </c>
      <c r="C3" s="20" t="s">
        <v>572</v>
      </c>
      <c r="D3" s="20" t="s">
        <v>579</v>
      </c>
      <c r="E3" s="20" t="s">
        <v>580</v>
      </c>
      <c r="F3" s="20" t="s">
        <v>581</v>
      </c>
      <c r="G3" s="20" t="s">
        <v>582</v>
      </c>
      <c r="H3" s="20" t="s">
        <v>583</v>
      </c>
      <c r="I3" s="21" t="s">
        <v>16</v>
      </c>
      <c r="J3" s="20" t="s">
        <v>358</v>
      </c>
    </row>
    <row r="4" spans="1:10" ht="22.8" hidden="1" x14ac:dyDescent="0.3">
      <c r="A4" s="20" t="s">
        <v>584</v>
      </c>
      <c r="B4" s="20" t="s">
        <v>58</v>
      </c>
      <c r="C4" s="20" t="s">
        <v>572</v>
      </c>
      <c r="D4" s="20" t="s">
        <v>585</v>
      </c>
      <c r="E4" s="20" t="s">
        <v>272</v>
      </c>
      <c r="F4" s="20" t="s">
        <v>586</v>
      </c>
      <c r="G4" s="20" t="s">
        <v>587</v>
      </c>
      <c r="H4" s="20" t="s">
        <v>588</v>
      </c>
      <c r="I4" s="21" t="s">
        <v>16</v>
      </c>
      <c r="J4" s="20" t="s">
        <v>366</v>
      </c>
    </row>
    <row r="5" spans="1:10" ht="22.8" hidden="1" x14ac:dyDescent="0.3">
      <c r="A5" s="20" t="s">
        <v>589</v>
      </c>
      <c r="B5" s="20" t="s">
        <v>59</v>
      </c>
      <c r="C5" s="20" t="s">
        <v>590</v>
      </c>
      <c r="D5" s="20" t="s">
        <v>591</v>
      </c>
      <c r="E5" s="20" t="s">
        <v>272</v>
      </c>
      <c r="F5" s="20" t="s">
        <v>592</v>
      </c>
      <c r="G5" s="20" t="s">
        <v>593</v>
      </c>
      <c r="H5" s="20" t="s">
        <v>594</v>
      </c>
      <c r="I5" s="21" t="s">
        <v>16</v>
      </c>
      <c r="J5" s="20"/>
    </row>
    <row r="6" spans="1:10" ht="22.8" hidden="1" x14ac:dyDescent="0.3">
      <c r="A6" s="20" t="s">
        <v>595</v>
      </c>
      <c r="B6" s="20" t="s">
        <v>59</v>
      </c>
      <c r="C6" s="20" t="s">
        <v>590</v>
      </c>
      <c r="D6" s="20" t="s">
        <v>596</v>
      </c>
      <c r="E6" s="20" t="s">
        <v>597</v>
      </c>
      <c r="F6" s="20" t="s">
        <v>598</v>
      </c>
      <c r="G6" s="20" t="s">
        <v>599</v>
      </c>
      <c r="H6" s="20" t="s">
        <v>600</v>
      </c>
      <c r="I6" s="21" t="s">
        <v>16</v>
      </c>
      <c r="J6" s="20"/>
    </row>
    <row r="7" spans="1:10" hidden="1" x14ac:dyDescent="0.3">
      <c r="A7" s="20" t="s">
        <v>601</v>
      </c>
      <c r="B7" s="20" t="s">
        <v>59</v>
      </c>
      <c r="C7" s="20" t="s">
        <v>590</v>
      </c>
      <c r="D7" s="20" t="s">
        <v>602</v>
      </c>
      <c r="E7" s="20" t="s">
        <v>603</v>
      </c>
      <c r="F7" s="20" t="s">
        <v>604</v>
      </c>
      <c r="G7" s="20" t="s">
        <v>605</v>
      </c>
      <c r="H7" s="20" t="s">
        <v>606</v>
      </c>
      <c r="I7" s="21" t="s">
        <v>16</v>
      </c>
      <c r="J7" s="20"/>
    </row>
    <row r="8" spans="1:10" ht="22.8" hidden="1" x14ac:dyDescent="0.3">
      <c r="A8" s="20" t="s">
        <v>607</v>
      </c>
      <c r="B8" s="20" t="s">
        <v>59</v>
      </c>
      <c r="C8" s="20" t="s">
        <v>590</v>
      </c>
      <c r="D8" s="20" t="s">
        <v>608</v>
      </c>
      <c r="E8" s="20" t="s">
        <v>609</v>
      </c>
      <c r="F8" s="20" t="s">
        <v>610</v>
      </c>
      <c r="G8" s="20" t="s">
        <v>611</v>
      </c>
      <c r="H8" s="20" t="s">
        <v>612</v>
      </c>
      <c r="I8" s="21" t="s">
        <v>16</v>
      </c>
      <c r="J8" s="20"/>
    </row>
    <row r="9" spans="1:10" ht="22.8" hidden="1" x14ac:dyDescent="0.3">
      <c r="A9" s="20" t="s">
        <v>613</v>
      </c>
      <c r="B9" s="20" t="s">
        <v>59</v>
      </c>
      <c r="C9" s="20" t="s">
        <v>590</v>
      </c>
      <c r="D9" s="20" t="s">
        <v>614</v>
      </c>
      <c r="E9" s="20" t="s">
        <v>615</v>
      </c>
      <c r="F9" s="20" t="s">
        <v>616</v>
      </c>
      <c r="G9" s="20" t="s">
        <v>617</v>
      </c>
      <c r="H9" s="20" t="s">
        <v>618</v>
      </c>
      <c r="I9" s="21" t="s">
        <v>16</v>
      </c>
      <c r="J9" s="20"/>
    </row>
    <row r="10" spans="1:10" hidden="1" x14ac:dyDescent="0.3">
      <c r="A10" s="20" t="s">
        <v>619</v>
      </c>
      <c r="B10" s="20" t="s">
        <v>59</v>
      </c>
      <c r="C10" s="20" t="s">
        <v>590</v>
      </c>
      <c r="D10" s="20" t="s">
        <v>620</v>
      </c>
      <c r="E10" s="20" t="s">
        <v>621</v>
      </c>
      <c r="F10" s="20" t="s">
        <v>622</v>
      </c>
      <c r="G10" s="20" t="s">
        <v>623</v>
      </c>
      <c r="H10" s="20" t="s">
        <v>624</v>
      </c>
      <c r="I10" s="21" t="s">
        <v>16</v>
      </c>
      <c r="J10" s="20"/>
    </row>
    <row r="11" spans="1:10" ht="22.8" hidden="1" x14ac:dyDescent="0.3">
      <c r="A11" s="20" t="s">
        <v>625</v>
      </c>
      <c r="B11" s="20" t="s">
        <v>60</v>
      </c>
      <c r="C11" s="20" t="s">
        <v>626</v>
      </c>
      <c r="D11" s="20" t="s">
        <v>627</v>
      </c>
      <c r="E11" s="20" t="s">
        <v>628</v>
      </c>
      <c r="F11" s="20" t="s">
        <v>629</v>
      </c>
      <c r="G11" s="20" t="s">
        <v>630</v>
      </c>
      <c r="H11" s="20" t="s">
        <v>631</v>
      </c>
      <c r="I11" s="21" t="s">
        <v>16</v>
      </c>
      <c r="J11" s="20"/>
    </row>
    <row r="12" spans="1:10" ht="22.8" hidden="1" x14ac:dyDescent="0.3">
      <c r="A12" s="20" t="s">
        <v>632</v>
      </c>
      <c r="B12" s="20" t="s">
        <v>60</v>
      </c>
      <c r="C12" s="20" t="s">
        <v>626</v>
      </c>
      <c r="D12" s="20" t="s">
        <v>633</v>
      </c>
      <c r="E12" s="20" t="s">
        <v>634</v>
      </c>
      <c r="F12" s="20" t="s">
        <v>635</v>
      </c>
      <c r="G12" s="20" t="s">
        <v>636</v>
      </c>
      <c r="H12" s="20" t="s">
        <v>637</v>
      </c>
      <c r="I12" s="21" t="s">
        <v>16</v>
      </c>
      <c r="J12" s="20"/>
    </row>
    <row r="13" spans="1:10" ht="22.8" hidden="1" x14ac:dyDescent="0.3">
      <c r="A13" s="20" t="s">
        <v>638</v>
      </c>
      <c r="B13" s="20" t="s">
        <v>60</v>
      </c>
      <c r="C13" s="20" t="s">
        <v>626</v>
      </c>
      <c r="D13" s="20" t="s">
        <v>639</v>
      </c>
      <c r="E13" s="20" t="s">
        <v>272</v>
      </c>
      <c r="F13" s="20" t="s">
        <v>640</v>
      </c>
      <c r="G13" s="20" t="s">
        <v>641</v>
      </c>
      <c r="H13" s="20" t="s">
        <v>642</v>
      </c>
      <c r="I13" s="21" t="s">
        <v>18</v>
      </c>
      <c r="J13" s="20" t="s">
        <v>190</v>
      </c>
    </row>
    <row r="14" spans="1:10" ht="22.8" hidden="1" x14ac:dyDescent="0.3">
      <c r="A14" s="20" t="s">
        <v>643</v>
      </c>
      <c r="B14" s="20" t="s">
        <v>59</v>
      </c>
      <c r="C14" s="20" t="s">
        <v>590</v>
      </c>
      <c r="D14" s="20" t="s">
        <v>644</v>
      </c>
      <c r="E14" s="20" t="s">
        <v>603</v>
      </c>
      <c r="F14" s="20" t="s">
        <v>645</v>
      </c>
      <c r="G14" s="20" t="s">
        <v>646</v>
      </c>
      <c r="H14" s="20" t="s">
        <v>647</v>
      </c>
      <c r="I14" s="21" t="s">
        <v>18</v>
      </c>
      <c r="J14" s="20" t="s">
        <v>467</v>
      </c>
    </row>
    <row r="15" spans="1:10" hidden="1" x14ac:dyDescent="0.3">
      <c r="A15" s="20" t="s">
        <v>648</v>
      </c>
      <c r="B15" s="20" t="s">
        <v>59</v>
      </c>
      <c r="C15" s="20" t="s">
        <v>590</v>
      </c>
      <c r="D15" s="20" t="s">
        <v>649</v>
      </c>
      <c r="E15" s="20" t="s">
        <v>628</v>
      </c>
      <c r="F15" s="20" t="s">
        <v>650</v>
      </c>
      <c r="G15" s="20" t="s">
        <v>651</v>
      </c>
      <c r="H15" s="20" t="s">
        <v>652</v>
      </c>
      <c r="I15" s="21" t="s">
        <v>16</v>
      </c>
      <c r="J15" s="20"/>
    </row>
    <row r="16" spans="1:10" hidden="1" x14ac:dyDescent="0.3">
      <c r="A16" s="20" t="s">
        <v>653</v>
      </c>
      <c r="B16" s="20" t="s">
        <v>61</v>
      </c>
      <c r="C16" s="20" t="s">
        <v>654</v>
      </c>
      <c r="D16" s="20" t="s">
        <v>655</v>
      </c>
      <c r="E16" s="20" t="s">
        <v>628</v>
      </c>
      <c r="F16" s="20" t="s">
        <v>656</v>
      </c>
      <c r="G16" s="20" t="s">
        <v>657</v>
      </c>
      <c r="H16" s="20" t="s">
        <v>658</v>
      </c>
      <c r="I16" s="21" t="s">
        <v>16</v>
      </c>
      <c r="J16" s="20"/>
    </row>
    <row r="17" spans="1:10" hidden="1" x14ac:dyDescent="0.3">
      <c r="A17" s="20" t="s">
        <v>659</v>
      </c>
      <c r="B17" s="20" t="s">
        <v>61</v>
      </c>
      <c r="C17" s="20" t="s">
        <v>654</v>
      </c>
      <c r="D17" s="20" t="s">
        <v>660</v>
      </c>
      <c r="E17" s="20" t="s">
        <v>609</v>
      </c>
      <c r="F17" s="20" t="s">
        <v>661</v>
      </c>
      <c r="G17" s="20" t="s">
        <v>662</v>
      </c>
      <c r="H17" s="20" t="s">
        <v>663</v>
      </c>
      <c r="I17" s="21" t="s">
        <v>16</v>
      </c>
      <c r="J17" s="20"/>
    </row>
    <row r="18" spans="1:10" ht="22.8" hidden="1" x14ac:dyDescent="0.3">
      <c r="A18" s="20" t="s">
        <v>664</v>
      </c>
      <c r="B18" s="20" t="s">
        <v>61</v>
      </c>
      <c r="C18" s="20" t="s">
        <v>654</v>
      </c>
      <c r="D18" s="20" t="s">
        <v>665</v>
      </c>
      <c r="E18" s="20" t="s">
        <v>666</v>
      </c>
      <c r="F18" s="20" t="s">
        <v>667</v>
      </c>
      <c r="G18" s="20" t="s">
        <v>668</v>
      </c>
      <c r="H18" s="20" t="s">
        <v>669</v>
      </c>
      <c r="I18" s="21" t="s">
        <v>16</v>
      </c>
      <c r="J18" s="20"/>
    </row>
    <row r="19" spans="1:10" ht="22.8" hidden="1" x14ac:dyDescent="0.3">
      <c r="A19" s="20" t="s">
        <v>670</v>
      </c>
      <c r="B19" s="20" t="s">
        <v>61</v>
      </c>
      <c r="C19" s="20" t="s">
        <v>654</v>
      </c>
      <c r="D19" s="20" t="s">
        <v>671</v>
      </c>
      <c r="E19" s="20" t="s">
        <v>672</v>
      </c>
      <c r="F19" s="20" t="s">
        <v>673</v>
      </c>
      <c r="G19" s="20" t="s">
        <v>674</v>
      </c>
      <c r="H19" s="20" t="s">
        <v>675</v>
      </c>
      <c r="I19" s="21" t="s">
        <v>16</v>
      </c>
      <c r="J19" s="20"/>
    </row>
    <row r="20" spans="1:10" ht="22.8" hidden="1" x14ac:dyDescent="0.3">
      <c r="A20" s="20" t="s">
        <v>676</v>
      </c>
      <c r="B20" s="20" t="s">
        <v>61</v>
      </c>
      <c r="C20" s="20" t="s">
        <v>654</v>
      </c>
      <c r="D20" s="20" t="s">
        <v>677</v>
      </c>
      <c r="E20" s="20" t="s">
        <v>272</v>
      </c>
      <c r="F20" s="20" t="s">
        <v>678</v>
      </c>
      <c r="G20" s="20" t="s">
        <v>679</v>
      </c>
      <c r="H20" s="20" t="s">
        <v>680</v>
      </c>
      <c r="I20" s="21" t="s">
        <v>16</v>
      </c>
      <c r="J20" s="20"/>
    </row>
    <row r="21" spans="1:10" ht="22.8" hidden="1" x14ac:dyDescent="0.3">
      <c r="A21" s="20" t="s">
        <v>681</v>
      </c>
      <c r="B21" s="20" t="s">
        <v>62</v>
      </c>
      <c r="C21" s="20" t="s">
        <v>682</v>
      </c>
      <c r="D21" s="20" t="s">
        <v>683</v>
      </c>
      <c r="E21" s="20" t="s">
        <v>684</v>
      </c>
      <c r="F21" s="20" t="s">
        <v>685</v>
      </c>
      <c r="G21" s="20" t="s">
        <v>686</v>
      </c>
      <c r="H21" s="20" t="s">
        <v>687</v>
      </c>
      <c r="I21" s="21" t="s">
        <v>16</v>
      </c>
      <c r="J21" s="20"/>
    </row>
    <row r="22" spans="1:10" ht="22.8" x14ac:dyDescent="0.3">
      <c r="A22" s="20" t="s">
        <v>688</v>
      </c>
      <c r="B22" s="20" t="s">
        <v>62</v>
      </c>
      <c r="C22" s="20" t="s">
        <v>682</v>
      </c>
      <c r="D22" s="20" t="s">
        <v>689</v>
      </c>
      <c r="E22" s="20" t="s">
        <v>690</v>
      </c>
      <c r="F22" s="20" t="s">
        <v>691</v>
      </c>
      <c r="G22" s="20" t="s">
        <v>692</v>
      </c>
      <c r="H22" s="20" t="s">
        <v>693</v>
      </c>
      <c r="I22" s="21" t="s">
        <v>17</v>
      </c>
      <c r="J22" s="20" t="s">
        <v>527</v>
      </c>
    </row>
    <row r="23" spans="1:10" ht="22.8" x14ac:dyDescent="0.3">
      <c r="A23" s="20" t="s">
        <v>694</v>
      </c>
      <c r="B23" s="20" t="s">
        <v>62</v>
      </c>
      <c r="C23" s="20" t="s">
        <v>682</v>
      </c>
      <c r="D23" s="20" t="s">
        <v>695</v>
      </c>
      <c r="E23" s="20" t="s">
        <v>690</v>
      </c>
      <c r="F23" s="20" t="s">
        <v>696</v>
      </c>
      <c r="G23" s="20" t="s">
        <v>697</v>
      </c>
      <c r="H23" s="20" t="s">
        <v>698</v>
      </c>
      <c r="I23" s="21" t="s">
        <v>17</v>
      </c>
      <c r="J23" s="20" t="s">
        <v>556</v>
      </c>
    </row>
    <row r="24" spans="1:10" ht="22.8" hidden="1" x14ac:dyDescent="0.3">
      <c r="A24" s="20" t="s">
        <v>699</v>
      </c>
      <c r="B24" s="20" t="s">
        <v>63</v>
      </c>
      <c r="C24" s="20" t="s">
        <v>700</v>
      </c>
      <c r="D24" s="20" t="s">
        <v>701</v>
      </c>
      <c r="E24" s="20" t="s">
        <v>690</v>
      </c>
      <c r="F24" s="20" t="s">
        <v>702</v>
      </c>
      <c r="G24" s="20" t="s">
        <v>703</v>
      </c>
      <c r="H24" s="20" t="s">
        <v>704</v>
      </c>
      <c r="I24" s="21" t="s">
        <v>16</v>
      </c>
      <c r="J24" s="20"/>
    </row>
    <row r="25" spans="1:10" x14ac:dyDescent="0.3">
      <c r="A25" s="20" t="s">
        <v>705</v>
      </c>
      <c r="B25" s="20" t="s">
        <v>63</v>
      </c>
      <c r="C25" s="20" t="s">
        <v>700</v>
      </c>
      <c r="D25" s="20" t="s">
        <v>689</v>
      </c>
      <c r="E25" s="20" t="s">
        <v>690</v>
      </c>
      <c r="F25" s="20" t="s">
        <v>706</v>
      </c>
      <c r="G25" s="20" t="s">
        <v>707</v>
      </c>
      <c r="H25" s="20" t="s">
        <v>708</v>
      </c>
      <c r="I25" s="21" t="s">
        <v>17</v>
      </c>
      <c r="J25" s="20" t="s">
        <v>527</v>
      </c>
    </row>
    <row r="26" spans="1:10" ht="22.8" hidden="1" x14ac:dyDescent="0.3">
      <c r="A26" s="20" t="s">
        <v>709</v>
      </c>
      <c r="B26" s="20" t="s">
        <v>64</v>
      </c>
      <c r="C26" s="20" t="s">
        <v>710</v>
      </c>
      <c r="D26" s="20" t="s">
        <v>711</v>
      </c>
      <c r="E26" s="20" t="s">
        <v>690</v>
      </c>
      <c r="F26" s="20" t="s">
        <v>712</v>
      </c>
      <c r="G26" s="20" t="s">
        <v>713</v>
      </c>
      <c r="H26" s="20" t="s">
        <v>714</v>
      </c>
      <c r="I26" s="21" t="s">
        <v>16</v>
      </c>
      <c r="J26" s="20" t="s">
        <v>520</v>
      </c>
    </row>
    <row r="27" spans="1:10" hidden="1" x14ac:dyDescent="0.3">
      <c r="A27" s="20" t="s">
        <v>715</v>
      </c>
      <c r="B27" s="20" t="s">
        <v>64</v>
      </c>
      <c r="C27" s="20" t="s">
        <v>710</v>
      </c>
      <c r="D27" s="20" t="s">
        <v>716</v>
      </c>
      <c r="E27" s="20" t="s">
        <v>615</v>
      </c>
      <c r="F27" s="20" t="s">
        <v>717</v>
      </c>
      <c r="G27" s="20" t="s">
        <v>718</v>
      </c>
      <c r="H27" s="20" t="s">
        <v>719</v>
      </c>
      <c r="I27" s="21" t="s">
        <v>16</v>
      </c>
      <c r="J27" s="20"/>
    </row>
    <row r="28" spans="1:10" x14ac:dyDescent="0.3">
      <c r="A28" s="20" t="s">
        <v>720</v>
      </c>
      <c r="B28" s="20" t="s">
        <v>64</v>
      </c>
      <c r="C28" s="20" t="s">
        <v>710</v>
      </c>
      <c r="D28" s="20" t="s">
        <v>721</v>
      </c>
      <c r="E28" s="20" t="s">
        <v>272</v>
      </c>
      <c r="F28" s="20" t="s">
        <v>722</v>
      </c>
      <c r="G28" s="20" t="s">
        <v>723</v>
      </c>
      <c r="H28" s="20" t="s">
        <v>724</v>
      </c>
      <c r="I28" s="21" t="s">
        <v>17</v>
      </c>
      <c r="J28" s="20" t="s">
        <v>239</v>
      </c>
    </row>
    <row r="29" spans="1:10" ht="22.8" hidden="1" x14ac:dyDescent="0.3">
      <c r="A29" s="20" t="s">
        <v>725</v>
      </c>
      <c r="B29" s="20" t="s">
        <v>64</v>
      </c>
      <c r="C29" s="20" t="s">
        <v>710</v>
      </c>
      <c r="D29" s="20" t="s">
        <v>726</v>
      </c>
      <c r="E29" s="20" t="s">
        <v>272</v>
      </c>
      <c r="F29" s="20" t="s">
        <v>727</v>
      </c>
      <c r="G29" s="20" t="s">
        <v>728</v>
      </c>
      <c r="H29" s="20" t="s">
        <v>729</v>
      </c>
      <c r="I29" s="21" t="s">
        <v>16</v>
      </c>
      <c r="J29" s="20"/>
    </row>
    <row r="30" spans="1:10" hidden="1" x14ac:dyDescent="0.3">
      <c r="A30" s="20" t="s">
        <v>730</v>
      </c>
      <c r="B30" s="20" t="s">
        <v>63</v>
      </c>
      <c r="C30" s="20" t="s">
        <v>700</v>
      </c>
      <c r="D30" s="20" t="s">
        <v>731</v>
      </c>
      <c r="E30" s="20" t="s">
        <v>690</v>
      </c>
      <c r="F30" s="20" t="s">
        <v>732</v>
      </c>
      <c r="G30" s="20" t="s">
        <v>733</v>
      </c>
      <c r="H30" s="20" t="s">
        <v>734</v>
      </c>
      <c r="I30" s="21" t="s">
        <v>16</v>
      </c>
      <c r="J30" s="20"/>
    </row>
    <row r="31" spans="1:10" ht="34.200000000000003" hidden="1" x14ac:dyDescent="0.3">
      <c r="A31" s="20" t="s">
        <v>735</v>
      </c>
      <c r="B31" s="20" t="s">
        <v>64</v>
      </c>
      <c r="C31" s="20" t="s">
        <v>710</v>
      </c>
      <c r="D31" s="20" t="s">
        <v>736</v>
      </c>
      <c r="E31" s="20" t="s">
        <v>690</v>
      </c>
      <c r="F31" s="20" t="s">
        <v>737</v>
      </c>
      <c r="G31" s="20" t="s">
        <v>738</v>
      </c>
      <c r="H31" s="20" t="s">
        <v>739</v>
      </c>
      <c r="I31" s="21" t="s">
        <v>16</v>
      </c>
      <c r="J31" s="20"/>
    </row>
  </sheetData>
  <autoFilter ref="A1:J31" xr:uid="{00000000-0009-0000-0000-000002000000}">
    <filterColumn colId="8">
      <filters>
        <filter val="Fail"/>
      </filters>
    </filterColumn>
  </autoFilter>
  <conditionalFormatting sqref="I2:I31">
    <cfRule type="cellIs" dxfId="9" priority="2" operator="equal">
      <formula>"Pass"</formula>
    </cfRule>
    <cfRule type="cellIs" dxfId="8" priority="3" operator="equal">
      <formula>"Fail"</formula>
    </cfRule>
    <cfRule type="cellIs" dxfId="7" priority="4" operator="equal">
      <formula>"Partial"</formula>
    </cfRule>
    <cfRule type="cellIs" dxfId="6" priority="5" operator="equal">
      <formula>"Blocked"</formula>
    </cfRule>
    <cfRule type="cellIs" dxfId="5" priority="6" operator="equal">
      <formula>"Not Executed"</formula>
    </cfRule>
    <cfRule type="cellIs" dxfId="4" priority="7" operator="equal">
      <formula>"N/A (Phase 2)"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zoomScaleNormal="100" workbookViewId="0">
      <pane ySplit="1" topLeftCell="A2" activePane="bottomLeft" state="frozen"/>
      <selection pane="bottomLeft" activeCell="E5" sqref="E5"/>
    </sheetView>
  </sheetViews>
  <sheetFormatPr defaultColWidth="8.6640625" defaultRowHeight="14.4" x14ac:dyDescent="0.3"/>
  <cols>
    <col min="1" max="1" width="10" customWidth="1"/>
    <col min="2" max="2" width="18" customWidth="1"/>
    <col min="3" max="3" width="24" customWidth="1"/>
    <col min="4" max="4" width="10" customWidth="1"/>
    <col min="5" max="5" width="90" customWidth="1"/>
    <col min="6" max="6" width="16" customWidth="1"/>
  </cols>
  <sheetData>
    <row r="1" spans="1:6" x14ac:dyDescent="0.3">
      <c r="A1" s="22" t="s">
        <v>740</v>
      </c>
      <c r="B1" s="22" t="s">
        <v>741</v>
      </c>
      <c r="C1" s="22" t="s">
        <v>742</v>
      </c>
      <c r="D1" s="22" t="s">
        <v>743</v>
      </c>
      <c r="E1" s="22" t="s">
        <v>744</v>
      </c>
      <c r="F1" s="22" t="s">
        <v>13</v>
      </c>
    </row>
    <row r="2" spans="1:6" ht="22.8" x14ac:dyDescent="0.3">
      <c r="A2" s="20" t="s">
        <v>745</v>
      </c>
      <c r="B2" s="20" t="s">
        <v>98</v>
      </c>
      <c r="C2" s="20" t="s">
        <v>746</v>
      </c>
      <c r="D2" s="20" t="s">
        <v>76</v>
      </c>
      <c r="E2" s="20" t="s">
        <v>747</v>
      </c>
      <c r="F2" s="20" t="s">
        <v>748</v>
      </c>
    </row>
    <row r="3" spans="1:6" ht="22.8" x14ac:dyDescent="0.3">
      <c r="A3" s="20" t="s">
        <v>112</v>
      </c>
      <c r="B3" s="20" t="s">
        <v>749</v>
      </c>
      <c r="C3" s="20" t="s">
        <v>750</v>
      </c>
      <c r="D3" s="20" t="s">
        <v>85</v>
      </c>
      <c r="E3" s="20" t="s">
        <v>751</v>
      </c>
      <c r="F3" s="27" t="s">
        <v>918</v>
      </c>
    </row>
    <row r="4" spans="1:6" ht="22.8" x14ac:dyDescent="0.3">
      <c r="A4" s="20" t="s">
        <v>140</v>
      </c>
      <c r="B4" s="20" t="s">
        <v>133</v>
      </c>
      <c r="C4" s="20" t="s">
        <v>752</v>
      </c>
      <c r="D4" s="20" t="s">
        <v>85</v>
      </c>
      <c r="E4" s="20" t="s">
        <v>753</v>
      </c>
      <c r="F4" s="20" t="s">
        <v>748</v>
      </c>
    </row>
    <row r="5" spans="1:6" x14ac:dyDescent="0.3">
      <c r="A5" s="20" t="s">
        <v>148</v>
      </c>
      <c r="B5" s="20" t="s">
        <v>141</v>
      </c>
      <c r="C5" s="20" t="s">
        <v>754</v>
      </c>
      <c r="D5" s="20" t="s">
        <v>256</v>
      </c>
      <c r="E5" s="20" t="s">
        <v>755</v>
      </c>
      <c r="F5" s="20" t="s">
        <v>748</v>
      </c>
    </row>
    <row r="6" spans="1:6" ht="22.8" x14ac:dyDescent="0.3">
      <c r="A6" s="20" t="s">
        <v>756</v>
      </c>
      <c r="B6" s="20" t="s">
        <v>216</v>
      </c>
      <c r="C6" s="20" t="s">
        <v>757</v>
      </c>
      <c r="D6" s="20" t="s">
        <v>76</v>
      </c>
      <c r="E6" s="20" t="s">
        <v>758</v>
      </c>
      <c r="F6" s="20" t="s">
        <v>748</v>
      </c>
    </row>
    <row r="7" spans="1:6" ht="22.8" x14ac:dyDescent="0.3">
      <c r="A7" s="20" t="s">
        <v>759</v>
      </c>
      <c r="B7" s="20" t="s">
        <v>216</v>
      </c>
      <c r="C7" s="20" t="s">
        <v>760</v>
      </c>
      <c r="D7" s="20" t="s">
        <v>76</v>
      </c>
      <c r="E7" s="20" t="s">
        <v>761</v>
      </c>
      <c r="F7" s="20" t="s">
        <v>748</v>
      </c>
    </row>
    <row r="8" spans="1:6" ht="22.8" x14ac:dyDescent="0.3">
      <c r="A8" s="20" t="s">
        <v>231</v>
      </c>
      <c r="B8" s="20" t="s">
        <v>224</v>
      </c>
      <c r="C8" s="20" t="s">
        <v>30</v>
      </c>
      <c r="D8" s="20" t="s">
        <v>76</v>
      </c>
      <c r="E8" s="20" t="s">
        <v>762</v>
      </c>
      <c r="F8" s="20" t="s">
        <v>748</v>
      </c>
    </row>
    <row r="9" spans="1:6" x14ac:dyDescent="0.3">
      <c r="A9" s="20" t="s">
        <v>239</v>
      </c>
      <c r="B9" s="20" t="s">
        <v>763</v>
      </c>
      <c r="C9" s="20" t="s">
        <v>31</v>
      </c>
      <c r="D9" s="20" t="s">
        <v>85</v>
      </c>
      <c r="E9" s="20" t="s">
        <v>764</v>
      </c>
      <c r="F9" s="20" t="s">
        <v>748</v>
      </c>
    </row>
    <row r="10" spans="1:6" ht="22.8" x14ac:dyDescent="0.3">
      <c r="A10" s="20" t="s">
        <v>298</v>
      </c>
      <c r="B10" s="20" t="s">
        <v>291</v>
      </c>
      <c r="C10" s="20" t="s">
        <v>765</v>
      </c>
      <c r="D10" s="20" t="s">
        <v>76</v>
      </c>
      <c r="E10" s="20" t="s">
        <v>766</v>
      </c>
      <c r="F10" s="27" t="s">
        <v>918</v>
      </c>
    </row>
    <row r="11" spans="1:6" x14ac:dyDescent="0.3">
      <c r="A11" s="20" t="s">
        <v>374</v>
      </c>
      <c r="B11" s="20" t="s">
        <v>367</v>
      </c>
      <c r="C11" s="20" t="s">
        <v>768</v>
      </c>
      <c r="D11" s="20" t="s">
        <v>256</v>
      </c>
      <c r="E11" s="20" t="s">
        <v>769</v>
      </c>
      <c r="F11" s="20" t="s">
        <v>748</v>
      </c>
    </row>
    <row r="12" spans="1:6" ht="22.8" x14ac:dyDescent="0.3">
      <c r="A12" s="20" t="s">
        <v>381</v>
      </c>
      <c r="B12" s="20" t="s">
        <v>770</v>
      </c>
      <c r="C12" s="20" t="s">
        <v>771</v>
      </c>
      <c r="D12" s="20" t="s">
        <v>76</v>
      </c>
      <c r="E12" s="20" t="s">
        <v>772</v>
      </c>
      <c r="F12" s="20" t="s">
        <v>767</v>
      </c>
    </row>
    <row r="13" spans="1:6" ht="22.8" x14ac:dyDescent="0.3">
      <c r="A13" s="20" t="s">
        <v>401</v>
      </c>
      <c r="B13" s="20" t="s">
        <v>395</v>
      </c>
      <c r="C13" s="20" t="s">
        <v>773</v>
      </c>
      <c r="D13" s="20" t="s">
        <v>76</v>
      </c>
      <c r="E13" s="20" t="s">
        <v>774</v>
      </c>
      <c r="F13" s="20" t="s">
        <v>748</v>
      </c>
    </row>
    <row r="14" spans="1:6" ht="22.8" x14ac:dyDescent="0.3">
      <c r="A14" s="20" t="s">
        <v>424</v>
      </c>
      <c r="B14" s="20" t="s">
        <v>775</v>
      </c>
      <c r="C14" s="20" t="s">
        <v>37</v>
      </c>
      <c r="D14" s="20" t="s">
        <v>76</v>
      </c>
      <c r="E14" s="20" t="s">
        <v>776</v>
      </c>
      <c r="F14" s="20" t="s">
        <v>748</v>
      </c>
    </row>
    <row r="15" spans="1:6" x14ac:dyDescent="0.3">
      <c r="A15" s="20" t="s">
        <v>438</v>
      </c>
      <c r="B15" s="20" t="s">
        <v>432</v>
      </c>
      <c r="C15" s="20" t="s">
        <v>777</v>
      </c>
      <c r="D15" s="20" t="s">
        <v>76</v>
      </c>
      <c r="E15" s="20" t="s">
        <v>778</v>
      </c>
      <c r="F15" s="20" t="s">
        <v>748</v>
      </c>
    </row>
    <row r="16" spans="1:6" ht="34.200000000000003" x14ac:dyDescent="0.3">
      <c r="A16" s="20" t="s">
        <v>527</v>
      </c>
      <c r="B16" s="20" t="s">
        <v>779</v>
      </c>
      <c r="C16" s="20" t="s">
        <v>780</v>
      </c>
      <c r="D16" s="20" t="s">
        <v>781</v>
      </c>
      <c r="E16" s="20" t="s">
        <v>782</v>
      </c>
      <c r="F16" s="20" t="s">
        <v>748</v>
      </c>
    </row>
    <row r="17" spans="1:6" ht="22.8" x14ac:dyDescent="0.3">
      <c r="A17" s="20" t="s">
        <v>190</v>
      </c>
      <c r="B17" s="20" t="s">
        <v>783</v>
      </c>
      <c r="C17" s="20" t="s">
        <v>784</v>
      </c>
      <c r="D17" s="20" t="s">
        <v>85</v>
      </c>
      <c r="E17" s="20" t="s">
        <v>785</v>
      </c>
      <c r="F17" s="20" t="s">
        <v>748</v>
      </c>
    </row>
    <row r="18" spans="1:6" ht="22.8" x14ac:dyDescent="0.3">
      <c r="A18" s="20" t="s">
        <v>467</v>
      </c>
      <c r="B18" s="20" t="s">
        <v>460</v>
      </c>
      <c r="C18" s="20" t="s">
        <v>786</v>
      </c>
      <c r="D18" s="20" t="s">
        <v>76</v>
      </c>
      <c r="E18" s="20" t="s">
        <v>787</v>
      </c>
      <c r="F18" s="20" t="s">
        <v>748</v>
      </c>
    </row>
    <row r="19" spans="1:6" ht="22.8" x14ac:dyDescent="0.3">
      <c r="A19" s="20" t="s">
        <v>556</v>
      </c>
      <c r="B19" s="20" t="s">
        <v>550</v>
      </c>
      <c r="C19" s="20" t="s">
        <v>788</v>
      </c>
      <c r="D19" s="20" t="s">
        <v>85</v>
      </c>
      <c r="E19" s="20" t="s">
        <v>789</v>
      </c>
      <c r="F19" s="20" t="s">
        <v>790</v>
      </c>
    </row>
    <row r="20" spans="1:6" ht="22.8" x14ac:dyDescent="0.3">
      <c r="A20" s="20" t="s">
        <v>520</v>
      </c>
      <c r="B20" s="20" t="s">
        <v>513</v>
      </c>
      <c r="C20" s="20" t="s">
        <v>791</v>
      </c>
      <c r="D20" s="20" t="s">
        <v>256</v>
      </c>
      <c r="E20" s="20" t="s">
        <v>792</v>
      </c>
      <c r="F20" s="20" t="s">
        <v>748</v>
      </c>
    </row>
    <row r="21" spans="1:6" ht="22.8" x14ac:dyDescent="0.3">
      <c r="A21" s="20" t="s">
        <v>358</v>
      </c>
      <c r="B21" s="20" t="s">
        <v>351</v>
      </c>
      <c r="C21" s="20" t="s">
        <v>34</v>
      </c>
      <c r="D21" s="20" t="s">
        <v>256</v>
      </c>
      <c r="E21" s="20" t="s">
        <v>793</v>
      </c>
      <c r="F21" s="20" t="s">
        <v>748</v>
      </c>
    </row>
  </sheetData>
  <autoFilter ref="A1:F21" xr:uid="{00000000-0009-0000-0000-000003000000}"/>
  <conditionalFormatting sqref="D2:D21">
    <cfRule type="cellIs" dxfId="3" priority="2" operator="equal">
      <formula>"Critical"</formula>
    </cfRule>
    <cfRule type="cellIs" dxfId="2" priority="3" operator="equal">
      <formula>"High"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10" customWidth="1"/>
  </cols>
  <sheetData>
    <row r="1" spans="1:3" x14ac:dyDescent="0.3">
      <c r="A1" s="22" t="s">
        <v>794</v>
      </c>
      <c r="B1" s="22" t="s">
        <v>741</v>
      </c>
      <c r="C1" s="22" t="s">
        <v>795</v>
      </c>
    </row>
    <row r="2" spans="1:3" x14ac:dyDescent="0.3">
      <c r="A2" s="20" t="s">
        <v>82</v>
      </c>
      <c r="B2" s="20" t="s">
        <v>74</v>
      </c>
      <c r="C2" s="20" t="s">
        <v>796</v>
      </c>
    </row>
    <row r="3" spans="1:3" ht="22.8" x14ac:dyDescent="0.3">
      <c r="A3" s="20" t="s">
        <v>119</v>
      </c>
      <c r="B3" s="20" t="s">
        <v>113</v>
      </c>
      <c r="C3" s="20" t="s">
        <v>797</v>
      </c>
    </row>
    <row r="4" spans="1:3" x14ac:dyDescent="0.3">
      <c r="A4" s="20" t="s">
        <v>174</v>
      </c>
      <c r="B4" s="20" t="s">
        <v>168</v>
      </c>
      <c r="C4" s="20" t="s">
        <v>798</v>
      </c>
    </row>
    <row r="5" spans="1:3" ht="22.8" x14ac:dyDescent="0.3">
      <c r="A5" s="20" t="s">
        <v>182</v>
      </c>
      <c r="B5" s="20" t="s">
        <v>175</v>
      </c>
      <c r="C5" s="20" t="s">
        <v>799</v>
      </c>
    </row>
    <row r="6" spans="1:3" x14ac:dyDescent="0.3">
      <c r="A6" s="20" t="s">
        <v>207</v>
      </c>
      <c r="B6" s="20" t="s">
        <v>201</v>
      </c>
      <c r="C6" s="20" t="s">
        <v>800</v>
      </c>
    </row>
    <row r="7" spans="1:3" x14ac:dyDescent="0.3">
      <c r="A7" s="20" t="s">
        <v>215</v>
      </c>
      <c r="B7" s="20" t="s">
        <v>801</v>
      </c>
      <c r="C7" s="20" t="s">
        <v>802</v>
      </c>
    </row>
    <row r="8" spans="1:3" x14ac:dyDescent="0.3">
      <c r="A8" s="20" t="s">
        <v>253</v>
      </c>
      <c r="B8" s="20" t="s">
        <v>247</v>
      </c>
      <c r="C8" s="20" t="s">
        <v>803</v>
      </c>
    </row>
    <row r="9" spans="1:3" ht="22.8" x14ac:dyDescent="0.3">
      <c r="A9" s="20" t="s">
        <v>282</v>
      </c>
      <c r="B9" s="20" t="s">
        <v>275</v>
      </c>
      <c r="C9" s="20" t="s">
        <v>804</v>
      </c>
    </row>
    <row r="10" spans="1:3" ht="22.8" x14ac:dyDescent="0.3">
      <c r="A10" s="20" t="s">
        <v>327</v>
      </c>
      <c r="B10" s="20" t="s">
        <v>320</v>
      </c>
      <c r="C10" s="20" t="s">
        <v>805</v>
      </c>
    </row>
    <row r="11" spans="1:3" x14ac:dyDescent="0.3">
      <c r="A11" s="20" t="s">
        <v>343</v>
      </c>
      <c r="B11" s="20" t="s">
        <v>336</v>
      </c>
      <c r="C11" s="20" t="s">
        <v>806</v>
      </c>
    </row>
    <row r="12" spans="1:3" x14ac:dyDescent="0.3">
      <c r="A12" s="20" t="s">
        <v>366</v>
      </c>
      <c r="B12" s="20" t="s">
        <v>359</v>
      </c>
      <c r="C12" s="20" t="s">
        <v>807</v>
      </c>
    </row>
    <row r="13" spans="1:3" x14ac:dyDescent="0.3">
      <c r="A13" s="20" t="s">
        <v>416</v>
      </c>
      <c r="B13" s="20" t="s">
        <v>409</v>
      </c>
      <c r="C13" s="20" t="s">
        <v>808</v>
      </c>
    </row>
    <row r="14" spans="1:3" x14ac:dyDescent="0.3">
      <c r="A14" s="20" t="s">
        <v>809</v>
      </c>
      <c r="B14" s="20" t="s">
        <v>528</v>
      </c>
      <c r="C14" s="20" t="s">
        <v>810</v>
      </c>
    </row>
    <row r="15" spans="1:3" ht="22.8" x14ac:dyDescent="0.3">
      <c r="A15" s="20" t="s">
        <v>564</v>
      </c>
      <c r="B15" s="20" t="s">
        <v>557</v>
      </c>
      <c r="C15" s="20" t="s">
        <v>811</v>
      </c>
    </row>
    <row r="16" spans="1:3" ht="22.8" x14ac:dyDescent="0.3">
      <c r="A16" s="20" t="s">
        <v>812</v>
      </c>
      <c r="B16" s="20" t="s">
        <v>813</v>
      </c>
      <c r="C16" s="20" t="s">
        <v>814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zoomScaleNormal="100" workbookViewId="0">
      <pane ySplit="1" topLeftCell="A3" activePane="bottomLeft" state="frozen"/>
      <selection pane="bottomLeft" activeCell="A14" sqref="A14:XFD14"/>
    </sheetView>
  </sheetViews>
  <sheetFormatPr defaultColWidth="8.6640625" defaultRowHeight="14.4" x14ac:dyDescent="0.3"/>
  <cols>
    <col min="1" max="1" width="7" customWidth="1"/>
    <col min="2" max="2" width="26" customWidth="1"/>
    <col min="3" max="3" width="50" customWidth="1"/>
    <col min="4" max="4" width="55" customWidth="1"/>
    <col min="5" max="5" width="34" customWidth="1"/>
  </cols>
  <sheetData>
    <row r="1" spans="1:5" x14ac:dyDescent="0.3">
      <c r="A1" s="22" t="s">
        <v>815</v>
      </c>
      <c r="B1" s="22" t="s">
        <v>742</v>
      </c>
      <c r="C1" s="22" t="s">
        <v>816</v>
      </c>
      <c r="D1" s="22" t="s">
        <v>817</v>
      </c>
      <c r="E1" s="22" t="s">
        <v>818</v>
      </c>
    </row>
    <row r="2" spans="1:5" ht="22.8" x14ac:dyDescent="0.3">
      <c r="A2" s="20" t="s">
        <v>819</v>
      </c>
      <c r="B2" s="20" t="s">
        <v>820</v>
      </c>
      <c r="C2" s="20" t="s">
        <v>821</v>
      </c>
      <c r="D2" s="20" t="s">
        <v>822</v>
      </c>
      <c r="E2" s="20" t="s">
        <v>823</v>
      </c>
    </row>
    <row r="3" spans="1:5" ht="22.8" x14ac:dyDescent="0.3">
      <c r="A3" s="20" t="s">
        <v>824</v>
      </c>
      <c r="B3" s="20" t="s">
        <v>825</v>
      </c>
      <c r="C3" s="20" t="s">
        <v>826</v>
      </c>
      <c r="D3" s="20" t="s">
        <v>827</v>
      </c>
      <c r="E3" s="20" t="s">
        <v>828</v>
      </c>
    </row>
    <row r="4" spans="1:5" ht="34.200000000000003" x14ac:dyDescent="0.3">
      <c r="A4" s="20" t="s">
        <v>829</v>
      </c>
      <c r="B4" s="20" t="s">
        <v>830</v>
      </c>
      <c r="C4" s="20" t="s">
        <v>831</v>
      </c>
      <c r="D4" s="20" t="s">
        <v>832</v>
      </c>
      <c r="E4" s="20" t="s">
        <v>833</v>
      </c>
    </row>
    <row r="5" spans="1:5" ht="22.8" x14ac:dyDescent="0.3">
      <c r="A5" s="20" t="s">
        <v>834</v>
      </c>
      <c r="B5" s="20" t="s">
        <v>835</v>
      </c>
      <c r="C5" s="20" t="s">
        <v>836</v>
      </c>
      <c r="D5" s="20" t="s">
        <v>837</v>
      </c>
      <c r="E5" s="20" t="s">
        <v>838</v>
      </c>
    </row>
    <row r="6" spans="1:5" ht="22.8" x14ac:dyDescent="0.3">
      <c r="A6" s="20" t="s">
        <v>839</v>
      </c>
      <c r="B6" s="20" t="s">
        <v>840</v>
      </c>
      <c r="C6" s="20" t="s">
        <v>841</v>
      </c>
      <c r="D6" s="20" t="s">
        <v>842</v>
      </c>
      <c r="E6" s="20" t="s">
        <v>828</v>
      </c>
    </row>
    <row r="7" spans="1:5" x14ac:dyDescent="0.3">
      <c r="A7" s="20" t="s">
        <v>843</v>
      </c>
      <c r="B7" s="20" t="s">
        <v>844</v>
      </c>
      <c r="C7" s="20" t="s">
        <v>845</v>
      </c>
      <c r="D7" s="20" t="s">
        <v>846</v>
      </c>
      <c r="E7" s="20" t="s">
        <v>847</v>
      </c>
    </row>
    <row r="8" spans="1:5" x14ac:dyDescent="0.3">
      <c r="A8" s="20" t="s">
        <v>848</v>
      </c>
      <c r="B8" s="20" t="s">
        <v>849</v>
      </c>
      <c r="C8" s="20" t="s">
        <v>850</v>
      </c>
      <c r="D8" s="20" t="s">
        <v>851</v>
      </c>
      <c r="E8" s="20" t="s">
        <v>852</v>
      </c>
    </row>
    <row r="9" spans="1:5" x14ac:dyDescent="0.3">
      <c r="A9" s="20" t="s">
        <v>853</v>
      </c>
      <c r="B9" s="20" t="s">
        <v>854</v>
      </c>
      <c r="C9" s="20" t="s">
        <v>855</v>
      </c>
      <c r="D9" s="20" t="s">
        <v>856</v>
      </c>
      <c r="E9" s="20" t="s">
        <v>857</v>
      </c>
    </row>
    <row r="10" spans="1:5" ht="22.8" x14ac:dyDescent="0.3">
      <c r="A10" s="20" t="s">
        <v>858</v>
      </c>
      <c r="B10" s="20" t="s">
        <v>859</v>
      </c>
      <c r="C10" s="20" t="s">
        <v>860</v>
      </c>
      <c r="D10" s="20" t="s">
        <v>861</v>
      </c>
      <c r="E10" s="20" t="s">
        <v>862</v>
      </c>
    </row>
    <row r="11" spans="1:5" x14ac:dyDescent="0.3">
      <c r="A11" s="20" t="s">
        <v>863</v>
      </c>
      <c r="B11" s="20" t="s">
        <v>864</v>
      </c>
      <c r="C11" s="20" t="s">
        <v>865</v>
      </c>
      <c r="D11" s="20" t="s">
        <v>866</v>
      </c>
      <c r="E11" s="20" t="s">
        <v>828</v>
      </c>
    </row>
    <row r="12" spans="1:5" ht="22.8" x14ac:dyDescent="0.3">
      <c r="A12" s="20" t="s">
        <v>867</v>
      </c>
      <c r="B12" s="20" t="s">
        <v>868</v>
      </c>
      <c r="C12" s="20" t="s">
        <v>869</v>
      </c>
      <c r="D12" s="20" t="s">
        <v>870</v>
      </c>
      <c r="E12" s="20" t="s">
        <v>828</v>
      </c>
    </row>
    <row r="13" spans="1:5" ht="22.8" x14ac:dyDescent="0.3">
      <c r="A13" s="20" t="s">
        <v>871</v>
      </c>
      <c r="B13" s="20" t="s">
        <v>872</v>
      </c>
      <c r="C13" s="20" t="s">
        <v>873</v>
      </c>
      <c r="D13" s="20" t="s">
        <v>874</v>
      </c>
      <c r="E13" s="20" t="s">
        <v>875</v>
      </c>
    </row>
    <row r="14" spans="1:5" x14ac:dyDescent="0.3">
      <c r="A14" s="20" t="s">
        <v>876</v>
      </c>
      <c r="B14" s="20" t="s">
        <v>877</v>
      </c>
      <c r="C14" s="20" t="s">
        <v>878</v>
      </c>
      <c r="D14" s="20" t="s">
        <v>879</v>
      </c>
      <c r="E14" s="20" t="s">
        <v>828</v>
      </c>
    </row>
    <row r="15" spans="1:5" ht="22.8" x14ac:dyDescent="0.3">
      <c r="A15" s="20" t="s">
        <v>880</v>
      </c>
      <c r="B15" s="20" t="s">
        <v>881</v>
      </c>
      <c r="C15" s="20" t="s">
        <v>882</v>
      </c>
      <c r="D15" s="20" t="s">
        <v>883</v>
      </c>
      <c r="E15" s="20" t="s">
        <v>884</v>
      </c>
    </row>
    <row r="16" spans="1:5" x14ac:dyDescent="0.3">
      <c r="A16" s="20" t="s">
        <v>885</v>
      </c>
      <c r="B16" s="20" t="s">
        <v>777</v>
      </c>
      <c r="C16" s="20" t="s">
        <v>886</v>
      </c>
      <c r="D16" s="20" t="s">
        <v>887</v>
      </c>
      <c r="E16" s="20" t="s">
        <v>888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8" zoomScaleNormal="100" workbookViewId="0"/>
  </sheetViews>
  <sheetFormatPr defaultColWidth="8.6640625" defaultRowHeight="14.4" x14ac:dyDescent="0.3"/>
  <cols>
    <col min="1" max="1" width="38" customWidth="1"/>
    <col min="2" max="2" width="22" customWidth="1"/>
    <col min="3" max="4" width="12" customWidth="1"/>
    <col min="5" max="5" width="18" customWidth="1"/>
    <col min="6" max="6" width="20" customWidth="1"/>
  </cols>
  <sheetData>
    <row r="1" spans="1:6" ht="15.6" x14ac:dyDescent="0.3">
      <c r="A1" s="18" t="s">
        <v>889</v>
      </c>
    </row>
    <row r="3" spans="1:6" x14ac:dyDescent="0.3">
      <c r="A3" s="22" t="s">
        <v>890</v>
      </c>
      <c r="B3" s="22" t="s">
        <v>891</v>
      </c>
      <c r="C3" s="22" t="s">
        <v>892</v>
      </c>
      <c r="D3" s="22" t="s">
        <v>893</v>
      </c>
      <c r="E3" s="22" t="s">
        <v>894</v>
      </c>
      <c r="F3" s="22" t="s">
        <v>895</v>
      </c>
    </row>
    <row r="4" spans="1:6" x14ac:dyDescent="0.3">
      <c r="A4" s="23" t="s">
        <v>896</v>
      </c>
      <c r="B4" s="23" t="s">
        <v>897</v>
      </c>
      <c r="C4" s="24">
        <v>42502</v>
      </c>
      <c r="D4" s="24">
        <v>42502</v>
      </c>
      <c r="E4" s="23" t="s">
        <v>898</v>
      </c>
      <c r="F4" s="23">
        <v>0</v>
      </c>
    </row>
    <row r="5" spans="1:6" x14ac:dyDescent="0.3">
      <c r="A5" s="23" t="s">
        <v>896</v>
      </c>
      <c r="B5" s="23" t="s">
        <v>899</v>
      </c>
      <c r="C5" s="24">
        <v>21088</v>
      </c>
      <c r="D5" s="24">
        <v>21081</v>
      </c>
      <c r="E5" s="23" t="s">
        <v>898</v>
      </c>
      <c r="F5" s="23">
        <v>0</v>
      </c>
    </row>
    <row r="6" spans="1:6" x14ac:dyDescent="0.3">
      <c r="A6" s="23" t="s">
        <v>900</v>
      </c>
      <c r="B6" s="23" t="s">
        <v>272</v>
      </c>
      <c r="C6" s="24">
        <v>11349</v>
      </c>
      <c r="D6" s="24">
        <v>11349</v>
      </c>
      <c r="E6" s="23" t="s">
        <v>898</v>
      </c>
      <c r="F6" s="23">
        <v>0</v>
      </c>
    </row>
    <row r="7" spans="1:6" x14ac:dyDescent="0.3">
      <c r="A7" s="23" t="s">
        <v>901</v>
      </c>
      <c r="B7" s="23" t="s">
        <v>902</v>
      </c>
      <c r="C7" s="24">
        <v>2627</v>
      </c>
      <c r="D7" s="24">
        <v>2622</v>
      </c>
      <c r="E7" s="23" t="s">
        <v>903</v>
      </c>
      <c r="F7" s="23">
        <v>0</v>
      </c>
    </row>
    <row r="8" spans="1:6" x14ac:dyDescent="0.3">
      <c r="A8" s="23" t="s">
        <v>904</v>
      </c>
      <c r="B8" s="23" t="s">
        <v>902</v>
      </c>
      <c r="C8" s="24">
        <v>4280</v>
      </c>
      <c r="D8" s="24">
        <v>4220</v>
      </c>
      <c r="E8" s="23" t="s">
        <v>903</v>
      </c>
      <c r="F8" s="23">
        <v>0</v>
      </c>
    </row>
    <row r="9" spans="1:6" x14ac:dyDescent="0.3">
      <c r="A9" s="23" t="s">
        <v>904</v>
      </c>
      <c r="B9" s="23" t="s">
        <v>905</v>
      </c>
      <c r="C9" s="24">
        <v>751</v>
      </c>
      <c r="D9" s="24">
        <v>751</v>
      </c>
      <c r="E9" s="23" t="s">
        <v>898</v>
      </c>
      <c r="F9" s="23">
        <v>0</v>
      </c>
    </row>
    <row r="10" spans="1:6" x14ac:dyDescent="0.3">
      <c r="A10" s="23" t="s">
        <v>906</v>
      </c>
      <c r="B10" s="23" t="s">
        <v>902</v>
      </c>
      <c r="C10" s="24">
        <v>302</v>
      </c>
      <c r="D10" s="24">
        <v>290</v>
      </c>
      <c r="E10" s="23" t="s">
        <v>903</v>
      </c>
      <c r="F10" s="23">
        <v>0</v>
      </c>
    </row>
    <row r="11" spans="1:6" x14ac:dyDescent="0.3">
      <c r="A11" s="23" t="s">
        <v>906</v>
      </c>
      <c r="B11" s="23" t="s">
        <v>905</v>
      </c>
      <c r="C11" s="24">
        <v>8</v>
      </c>
      <c r="D11" s="24">
        <v>8</v>
      </c>
      <c r="E11" s="23" t="s">
        <v>898</v>
      </c>
      <c r="F11" s="23">
        <v>0</v>
      </c>
    </row>
    <row r="12" spans="1:6" x14ac:dyDescent="0.3">
      <c r="A12" s="23" t="s">
        <v>907</v>
      </c>
      <c r="B12" s="23" t="s">
        <v>902</v>
      </c>
      <c r="C12" s="24">
        <v>61</v>
      </c>
      <c r="D12" s="24">
        <v>61</v>
      </c>
      <c r="E12" s="23" t="s">
        <v>903</v>
      </c>
      <c r="F12" s="23">
        <v>0</v>
      </c>
    </row>
    <row r="13" spans="1:6" x14ac:dyDescent="0.3">
      <c r="A13" s="23" t="s">
        <v>908</v>
      </c>
      <c r="B13" s="23" t="s">
        <v>272</v>
      </c>
      <c r="C13" s="24">
        <v>1102</v>
      </c>
      <c r="D13" s="24">
        <v>1102</v>
      </c>
      <c r="E13" s="23" t="s">
        <v>909</v>
      </c>
      <c r="F13" s="23">
        <v>0</v>
      </c>
    </row>
    <row r="14" spans="1:6" x14ac:dyDescent="0.3">
      <c r="A14" s="23" t="s">
        <v>910</v>
      </c>
      <c r="B14" s="23" t="s">
        <v>272</v>
      </c>
      <c r="C14" s="24">
        <v>1</v>
      </c>
      <c r="D14" s="24">
        <v>0</v>
      </c>
      <c r="E14" s="23" t="s">
        <v>272</v>
      </c>
      <c r="F14" s="23">
        <v>0</v>
      </c>
    </row>
    <row r="15" spans="1:6" x14ac:dyDescent="0.3">
      <c r="A15" s="23" t="s">
        <v>911</v>
      </c>
      <c r="B15" s="23" t="s">
        <v>272</v>
      </c>
      <c r="C15" s="24">
        <v>1</v>
      </c>
      <c r="D15" s="24">
        <v>0</v>
      </c>
      <c r="E15" s="23" t="s">
        <v>272</v>
      </c>
      <c r="F15" s="23">
        <v>0</v>
      </c>
    </row>
    <row r="16" spans="1:6" x14ac:dyDescent="0.3">
      <c r="A16" s="23" t="s">
        <v>912</v>
      </c>
      <c r="B16" s="23" t="s">
        <v>272</v>
      </c>
      <c r="C16" s="24">
        <v>2</v>
      </c>
      <c r="D16" s="24">
        <v>0</v>
      </c>
      <c r="E16" s="23" t="s">
        <v>272</v>
      </c>
      <c r="F16" s="23">
        <v>0</v>
      </c>
    </row>
    <row r="17" spans="1:4" x14ac:dyDescent="0.3">
      <c r="A17" s="15" t="s">
        <v>22</v>
      </c>
      <c r="C17" s="25">
        <f>SUM(C4:C16)</f>
        <v>84074</v>
      </c>
      <c r="D17" s="25">
        <f>SUM(D4:D16)</f>
        <v>83986</v>
      </c>
    </row>
    <row r="19" spans="1:4" x14ac:dyDescent="0.3">
      <c r="A19" s="15" t="s">
        <v>913</v>
      </c>
      <c r="D19" s="25">
        <f>SUMIFS(D4:D16,E4:E16,"Yes")</f>
        <v>7193</v>
      </c>
    </row>
    <row r="20" spans="1:4" x14ac:dyDescent="0.3">
      <c r="A20" s="15" t="s">
        <v>914</v>
      </c>
      <c r="D20" s="26">
        <v>9054</v>
      </c>
    </row>
    <row r="21" spans="1:4" x14ac:dyDescent="0.3">
      <c r="A21" s="15" t="s">
        <v>915</v>
      </c>
      <c r="D21" s="25">
        <f>D20-D19</f>
        <v>1861</v>
      </c>
    </row>
    <row r="22" spans="1:4" x14ac:dyDescent="0.3">
      <c r="A22" s="15" t="s">
        <v>916</v>
      </c>
      <c r="D22" s="26">
        <v>83986</v>
      </c>
    </row>
    <row r="23" spans="1:4" x14ac:dyDescent="0.3">
      <c r="A23" s="17" t="s">
        <v>917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Test Cases</vt:lpstr>
      <vt:lpstr>Role Workflow Tests</vt:lpstr>
      <vt:lpstr>Defect Log</vt:lpstr>
      <vt:lpstr>Observations</vt:lpstr>
      <vt:lpstr>Mockup Comparison</vt:lpstr>
      <vt:lpstr>Queue 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Prasanna R</cp:lastModifiedBy>
  <cp:revision>0</cp:revision>
  <dcterms:created xsi:type="dcterms:W3CDTF">2026-10-15T11:21:02Z</dcterms:created>
  <dcterms:modified xsi:type="dcterms:W3CDTF">2026-10-15T21:40:33Z</dcterms:modified>
  <dc:language>en-US</dc:language>
</cp:coreProperties>
</file>