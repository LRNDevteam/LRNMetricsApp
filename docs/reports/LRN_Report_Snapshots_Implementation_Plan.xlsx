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 Split" sheetId="2" state="visible" r:id="rId2"/>
    <sheet xmlns:r="http://schemas.openxmlformats.org/officeDocument/2006/relationships" name="Test Checklist" sheetId="3" state="visible" r:id="rId3"/>
    <sheet xmlns:r="http://schemas.openxmlformats.org/officeDocument/2006/relationships" name="Assumptions &amp; Questions" sheetId="4" state="visible" r:id="rId4"/>
  </sheets>
  <definedNames>
    <definedName name="_xlnm._FilterDatabase" localSheetId="1" hidden="1">'Task Split'!$A$1:$O$70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0" fontId="6" fillId="0" borderId="1" pivotButton="0" quotePrefix="0" xfId="0"/>
    <xf numFmtId="2" fontId="6" fillId="0" borderId="1" pivotButton="0" quotePrefix="0" xfId="0"/>
    <xf numFmtId="9" fontId="6" fillId="0" borderId="1" pivotButton="0" quotePrefix="0" xfId="0"/>
    <xf numFmtId="0" fontId="7" fillId="0" borderId="0" pivotButton="0" quotePrefix="0" xfId="0"/>
    <xf numFmtId="0" fontId="2" fillId="0" borderId="0" pivotButton="0" quotePrefix="0" xfId="0"/>
    <xf numFmtId="2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LRN Report Snapshots - Parquet Storage: Implementation Plan</t>
        </is>
      </c>
    </row>
    <row r="2">
      <c r="A2" s="2" t="inlineStr">
        <is>
          <t>Source: docs/LRN_Report_Snapshots–Parquet_Storage_Implementation.pdf (20 Oct 2026). Est. days are planning estimates (assumption), not from the doc.</t>
        </is>
      </c>
    </row>
    <row r="4">
      <c r="A4" s="3" t="inlineStr">
        <is>
          <t>Phase</t>
        </is>
      </c>
      <c r="B4" s="3" t="inlineStr">
        <is>
          <t>Phase Name</t>
        </is>
      </c>
      <c r="C4" s="3" t="inlineStr">
        <is>
          <t>Goal</t>
        </is>
      </c>
      <c r="D4" s="3" t="inlineStr">
        <is>
          <t>Tasks</t>
        </is>
      </c>
      <c r="E4" s="3" t="inlineStr">
        <is>
          <t>Est. Days</t>
        </is>
      </c>
      <c r="F4" s="3" t="inlineStr">
        <is>
          <t>Done</t>
        </is>
      </c>
      <c r="G4" s="3" t="inlineStr">
        <is>
          <t>In Progress</t>
        </is>
      </c>
      <c r="H4" s="3" t="inlineStr">
        <is>
          <t>Blocked</t>
        </is>
      </c>
      <c r="I4" s="3" t="inlineStr">
        <is>
          <t>% Done</t>
        </is>
      </c>
    </row>
    <row r="5">
      <c r="A5" s="4" t="inlineStr">
        <is>
          <t>P0</t>
        </is>
      </c>
      <c r="B5" s="4" t="inlineStr">
        <is>
          <t>Preparation &amp; decisions</t>
        </is>
      </c>
      <c r="C5" s="5" t="inlineStr">
        <is>
          <t>Lock scope: which reports/result sets are snapshotted, at what grain, and where the code lives.</t>
        </is>
      </c>
      <c r="D5" s="5">
        <f>COUNTIF('Task Split'!$B$2:$B$70,A5)</f>
        <v/>
      </c>
      <c r="E5" s="6">
        <f>SUMIF('Task Split'!$B$2:$B$70,A5,'Task Split'!$I$2:$I$70)</f>
        <v/>
      </c>
      <c r="F5" s="5">
        <f>COUNTIFS('Task Split'!$B$2:$B$70,A5,'Task Split'!$N$2:$N$70,"Done")</f>
        <v/>
      </c>
      <c r="G5" s="5">
        <f>COUNTIFS('Task Split'!$B$2:$B$70,A5,'Task Split'!$N$2:$N$70,"In Progress")</f>
        <v/>
      </c>
      <c r="H5" s="5">
        <f>COUNTIFS('Task Split'!$B$2:$B$70,A5,'Task Split'!$N$2:$N$70,"Blocked")</f>
        <v/>
      </c>
      <c r="I5" s="7">
        <f>IF(D5=0,0,F5/D5)</f>
        <v/>
      </c>
    </row>
    <row r="6">
      <c r="A6" s="4" t="inlineStr">
        <is>
          <t>P1</t>
        </is>
      </c>
      <c r="B6" s="4" t="inlineStr">
        <is>
          <t>Infrastructure &amp; LRNMaster schema</t>
        </is>
      </c>
      <c r="C6" s="5" t="inlineStr">
        <is>
          <t>Blob container, identity/network/retention controls and the snapshot index tables + SPs.</t>
        </is>
      </c>
      <c r="D6" s="5">
        <f>COUNTIF('Task Split'!$B$2:$B$70,A6)</f>
        <v/>
      </c>
      <c r="E6" s="6">
        <f>SUMIF('Task Split'!$B$2:$B$70,A6,'Task Split'!$I$2:$I$70)</f>
        <v/>
      </c>
      <c r="F6" s="5">
        <f>COUNTIFS('Task Split'!$B$2:$B$70,A6,'Task Split'!$N$2:$N$70,"Done")</f>
        <v/>
      </c>
      <c r="G6" s="5">
        <f>COUNTIFS('Task Split'!$B$2:$B$70,A6,'Task Split'!$N$2:$N$70,"In Progress")</f>
        <v/>
      </c>
      <c r="H6" s="5">
        <f>COUNTIFS('Task Split'!$B$2:$B$70,A6,'Task Split'!$N$2:$N$70,"Blocked")</f>
        <v/>
      </c>
      <c r="I6" s="7">
        <f>IF(D6=0,0,F6/D6)</f>
        <v/>
      </c>
    </row>
    <row r="7">
      <c r="A7" s="4" t="inlineStr">
        <is>
          <t>P2</t>
        </is>
      </c>
      <c r="B7" s="4" t="inlineStr">
        <is>
          <t>LRN.Snapshots shared library</t>
        </is>
      </c>
      <c r="C7" s="5" t="inlineStr">
        <is>
          <t>Writer, validator, blob store, index repository, cache and DuckDB reader shared by worker and web app.</t>
        </is>
      </c>
      <c r="D7" s="5">
        <f>COUNTIF('Task Split'!$B$2:$B$70,A7)</f>
        <v/>
      </c>
      <c r="E7" s="6">
        <f>SUMIF('Task Split'!$B$2:$B$70,A7,'Task Split'!$I$2:$I$70)</f>
        <v/>
      </c>
      <c r="F7" s="5">
        <f>COUNTIFS('Task Split'!$B$2:$B$70,A7,'Task Split'!$N$2:$N$70,"Done")</f>
        <v/>
      </c>
      <c r="G7" s="5">
        <f>COUNTIFS('Task Split'!$B$2:$B$70,A7,'Task Split'!$N$2:$N$70,"In Progress")</f>
        <v/>
      </c>
      <c r="H7" s="5">
        <f>COUNTIFS('Task Split'!$B$2:$B$70,A7,'Task Split'!$N$2:$N$70,"Blocked")</f>
        <v/>
      </c>
      <c r="I7" s="7">
        <f>IF(D7=0,0,F7/D7)</f>
        <v/>
      </c>
    </row>
    <row r="8">
      <c r="A8" s="4" t="inlineStr">
        <is>
          <t>P3</t>
        </is>
      </c>
      <c r="B8" s="4" t="inlineStr">
        <is>
          <t>Worker write path</t>
        </is>
      </c>
      <c r="C8" s="5" t="inlineStr">
        <is>
          <t>LRN.MasterFileProcessorWorker writes, validates, uploads and registers snapshots after each successful weekly run; retention.</t>
        </is>
      </c>
      <c r="D8" s="5">
        <f>COUNTIF('Task Split'!$B$2:$B$70,A8)</f>
        <v/>
      </c>
      <c r="E8" s="6">
        <f>SUMIF('Task Split'!$B$2:$B$70,A8,'Task Split'!$I$2:$I$70)</f>
        <v/>
      </c>
      <c r="F8" s="5">
        <f>COUNTIFS('Task Split'!$B$2:$B$70,A8,'Task Split'!$N$2:$N$70,"Done")</f>
        <v/>
      </c>
      <c r="G8" s="5">
        <f>COUNTIFS('Task Split'!$B$2:$B$70,A8,'Task Split'!$N$2:$N$70,"In Progress")</f>
        <v/>
      </c>
      <c r="H8" s="5">
        <f>COUNTIFS('Task Split'!$B$2:$B$70,A8,'Task Split'!$N$2:$N$70,"Blocked")</f>
        <v/>
      </c>
      <c r="I8" s="7">
        <f>IF(D8=0,0,F8/D8)</f>
        <v/>
      </c>
    </row>
    <row r="9">
      <c r="A9" s="4" t="inlineStr">
        <is>
          <t>P4</t>
        </is>
      </c>
      <c r="B9" s="4" t="inlineStr">
        <is>
          <t>Dashboard read path</t>
        </is>
      </c>
      <c r="C9" s="5" t="inlineStr">
        <is>
          <t>IReportDataSource abstraction with SQL and Parquet implementations, snapshot catalog, cache and lab isolation.</t>
        </is>
      </c>
      <c r="D9" s="5">
        <f>COUNTIF('Task Split'!$B$2:$B$70,A9)</f>
        <v/>
      </c>
      <c r="E9" s="6">
        <f>SUMIF('Task Split'!$B$2:$B$70,A9,'Task Split'!$I$2:$I$70)</f>
        <v/>
      </c>
      <c r="F9" s="5">
        <f>COUNTIFS('Task Split'!$B$2:$B$70,A9,'Task Split'!$N$2:$N$70,"Done")</f>
        <v/>
      </c>
      <c r="G9" s="5">
        <f>COUNTIFS('Task Split'!$B$2:$B$70,A9,'Task Split'!$N$2:$N$70,"In Progress")</f>
        <v/>
      </c>
      <c r="H9" s="5">
        <f>COUNTIFS('Task Split'!$B$2:$B$70,A9,'Task Split'!$N$2:$N$70,"Blocked")</f>
        <v/>
      </c>
      <c r="I9" s="7">
        <f>IF(D9=0,0,F9/D9)</f>
        <v/>
      </c>
    </row>
    <row r="10">
      <c r="A10" s="4" t="inlineStr">
        <is>
          <t>P5</t>
        </is>
      </c>
      <c r="B10" s="4" t="inlineStr">
        <is>
          <t>Pilot reports UI (2-3 reports)</t>
        </is>
      </c>
      <c r="C10" s="5" t="inlineStr">
        <is>
          <t>Mapper refactor, filter parity, week selector, read-only banner and export label for the pilot reports.</t>
        </is>
      </c>
      <c r="D10" s="5">
        <f>COUNTIF('Task Split'!$B$2:$B$70,A10)</f>
        <v/>
      </c>
      <c r="E10" s="6">
        <f>SUMIF('Task Split'!$B$2:$B$70,A10,'Task Split'!$I$2:$I$70)</f>
        <v/>
      </c>
      <c r="F10" s="5">
        <f>COUNTIFS('Task Split'!$B$2:$B$70,A10,'Task Split'!$N$2:$N$70,"Done")</f>
        <v/>
      </c>
      <c r="G10" s="5">
        <f>COUNTIFS('Task Split'!$B$2:$B$70,A10,'Task Split'!$N$2:$N$70,"In Progress")</f>
        <v/>
      </c>
      <c r="H10" s="5">
        <f>COUNTIFS('Task Split'!$B$2:$B$70,A10,'Task Split'!$N$2:$N$70,"Blocked")</f>
        <v/>
      </c>
      <c r="I10" s="7">
        <f>IF(D10=0,0,F10/D10)</f>
        <v/>
      </c>
    </row>
    <row r="11">
      <c r="A11" s="4" t="inlineStr">
        <is>
          <t>P6</t>
        </is>
      </c>
      <c r="B11" s="4" t="inlineStr">
        <is>
          <t>Testing</t>
        </is>
      </c>
      <c r="C11" s="5" t="inlineStr">
        <is>
          <t>Unit, integration and parity tests from the design-doc test checklist.</t>
        </is>
      </c>
      <c r="D11" s="5">
        <f>COUNTIF('Task Split'!$B$2:$B$70,A11)</f>
        <v/>
      </c>
      <c r="E11" s="6">
        <f>SUMIF('Task Split'!$B$2:$B$70,A11,'Task Split'!$I$2:$I$70)</f>
        <v/>
      </c>
      <c r="F11" s="5">
        <f>COUNTIFS('Task Split'!$B$2:$B$70,A11,'Task Split'!$N$2:$N$70,"Done")</f>
        <v/>
      </c>
      <c r="G11" s="5">
        <f>COUNTIFS('Task Split'!$B$2:$B$70,A11,'Task Split'!$N$2:$N$70,"In Progress")</f>
        <v/>
      </c>
      <c r="H11" s="5">
        <f>COUNTIFS('Task Split'!$B$2:$B$70,A11,'Task Split'!$N$2:$N$70,"Blocked")</f>
        <v/>
      </c>
      <c r="I11" s="7">
        <f>IF(D11=0,0,F11/D11)</f>
        <v/>
      </c>
    </row>
    <row r="12">
      <c r="A12" s="4" t="inlineStr">
        <is>
          <t>P7</t>
        </is>
      </c>
      <c r="B12" s="4" t="inlineStr">
        <is>
          <t>Pilot rollout &amp; UAT</t>
        </is>
      </c>
      <c r="C12" s="5" t="inlineStr">
        <is>
          <t>One pilot lab in production, client UAT on real past weeks.</t>
        </is>
      </c>
      <c r="D12" s="5">
        <f>COUNTIF('Task Split'!$B$2:$B$70,A12)</f>
        <v/>
      </c>
      <c r="E12" s="6">
        <f>SUMIF('Task Split'!$B$2:$B$70,A12,'Task Split'!$I$2:$I$70)</f>
        <v/>
      </c>
      <c r="F12" s="5">
        <f>COUNTIFS('Task Split'!$B$2:$B$70,A12,'Task Split'!$N$2:$N$70,"Done")</f>
        <v/>
      </c>
      <c r="G12" s="5">
        <f>COUNTIFS('Task Split'!$B$2:$B$70,A12,'Task Split'!$N$2:$N$70,"In Progress")</f>
        <v/>
      </c>
      <c r="H12" s="5">
        <f>COUNTIFS('Task Split'!$B$2:$B$70,A12,'Task Split'!$N$2:$N$70,"Blocked")</f>
        <v/>
      </c>
      <c r="I12" s="7">
        <f>IF(D12=0,0,F12/D12)</f>
        <v/>
      </c>
    </row>
    <row r="13">
      <c r="A13" s="4" t="inlineStr">
        <is>
          <t>P8</t>
        </is>
      </c>
      <c r="B13" s="4" t="inlineStr">
        <is>
          <t>Remaining reports &amp; all labs</t>
        </is>
      </c>
      <c r="C13" s="5" t="inlineStr">
        <is>
          <t>Extend to every standard report with filter parity, then enable all labs.</t>
        </is>
      </c>
      <c r="D13" s="5">
        <f>COUNTIF('Task Split'!$B$2:$B$70,A13)</f>
        <v/>
      </c>
      <c r="E13" s="6">
        <f>SUMIF('Task Split'!$B$2:$B$70,A13,'Task Split'!$I$2:$I$70)</f>
        <v/>
      </c>
      <c r="F13" s="5">
        <f>COUNTIFS('Task Split'!$B$2:$B$70,A13,'Task Split'!$N$2:$N$70,"Done")</f>
        <v/>
      </c>
      <c r="G13" s="5">
        <f>COUNTIFS('Task Split'!$B$2:$B$70,A13,'Task Split'!$N$2:$N$70,"In Progress")</f>
        <v/>
      </c>
      <c r="H13" s="5">
        <f>COUNTIFS('Task Split'!$B$2:$B$70,A13,'Task Split'!$N$2:$N$70,"Blocked")</f>
        <v/>
      </c>
      <c r="I13" s="7">
        <f>IF(D13=0,0,F13/D13)</f>
        <v/>
      </c>
    </row>
    <row r="14">
      <c r="A14" s="4" t="inlineStr">
        <is>
          <t>P9</t>
        </is>
      </c>
      <c r="B14" s="4" t="inlineStr">
        <is>
          <t>Backfill, monitoring &amp; handover</t>
        </is>
      </c>
      <c r="C14" s="5" t="inlineStr">
        <is>
          <t>Optional backfill of past weeks, monitoring, developer docs.</t>
        </is>
      </c>
      <c r="D14" s="5">
        <f>COUNTIF('Task Split'!$B$2:$B$70,A14)</f>
        <v/>
      </c>
      <c r="E14" s="6">
        <f>SUMIF('Task Split'!$B$2:$B$70,A14,'Task Split'!$I$2:$I$70)</f>
        <v/>
      </c>
      <c r="F14" s="5">
        <f>COUNTIFS('Task Split'!$B$2:$B$70,A14,'Task Split'!$N$2:$N$70,"Done")</f>
        <v/>
      </c>
      <c r="G14" s="5">
        <f>COUNTIFS('Task Split'!$B$2:$B$70,A14,'Task Split'!$N$2:$N$70,"In Progress")</f>
        <v/>
      </c>
      <c r="H14" s="5">
        <f>COUNTIFS('Task Split'!$B$2:$B$70,A14,'Task Split'!$N$2:$N$70,"Blocked")</f>
        <v/>
      </c>
      <c r="I14" s="7">
        <f>IF(D14=0,0,F14/D14)</f>
        <v/>
      </c>
    </row>
    <row r="15">
      <c r="A15" s="8" t="n"/>
      <c r="B15" s="8" t="inlineStr">
        <is>
          <t>Total</t>
        </is>
      </c>
      <c r="C15" s="8" t="n"/>
      <c r="D15" s="8">
        <f>SUM(D5:D14)</f>
        <v/>
      </c>
      <c r="E15" s="9">
        <f>SUM(E5:E14)</f>
        <v/>
      </c>
      <c r="F15" s="8">
        <f>SUM(F5:F14)</f>
        <v/>
      </c>
      <c r="G15" s="8">
        <f>SUM(G5:G14)</f>
        <v/>
      </c>
      <c r="H15" s="8">
        <f>SUM(H5:H14)</f>
        <v/>
      </c>
      <c r="I15" s="10">
        <f>IF(D15=0,0,F15/D15)</f>
        <v/>
      </c>
    </row>
    <row r="17">
      <c r="A17" s="11" t="inlineStr">
        <is>
          <t>How to use</t>
        </is>
      </c>
    </row>
    <row r="18">
      <c r="A18" s="12" t="inlineStr">
        <is>
          <t>• Fill in the yellow cells on 'Task Split' (Owner, Start Date, End Date, Status, Notes). Status is a dropdown: Not Started / In Progress / Blocked / Done.</t>
        </is>
      </c>
    </row>
    <row r="19">
      <c r="A19" s="12" t="inlineStr">
        <is>
          <t>• Blue numbers in 'Est. Days' are editable estimates; this summary recalculates from them.</t>
        </is>
      </c>
    </row>
    <row r="20">
      <c r="A20" s="12" t="inlineStr">
        <is>
          <t>• Rows turn green when Done, blue when In Progress, red when Blocked.</t>
        </is>
      </c>
    </row>
    <row r="21">
      <c r="A21" s="12" t="inlineStr">
        <is>
          <t>• Critical path: P0 -&gt; P1 -&gt; P2 -&gt; P3 (write) and P4 (read) in parallel -&gt; P5 -&gt; P6 -&gt; P7 -&gt; P8 -&gt; P9.</t>
        </is>
      </c>
    </row>
  </sheetData>
  <mergeCells count="4">
    <mergeCell ref="A18:I18"/>
    <mergeCell ref="A20:I20"/>
    <mergeCell ref="A19:I19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34" customWidth="1" min="4" max="4"/>
    <col width="60" customWidth="1" min="5" max="5"/>
    <col width="26" customWidth="1" min="6" max="6"/>
    <col width="28" customWidth="1" min="7" max="7"/>
    <col width="16" customWidth="1" min="8" max="8"/>
    <col width="9" customWidth="1" min="9" max="9"/>
    <col width="10" customWidth="1" min="10" max="10"/>
    <col width="14" customWidth="1" min="11" max="11"/>
    <col width="12" customWidth="1" min="12" max="12"/>
    <col width="12" customWidth="1" min="13" max="13"/>
    <col width="13" customWidth="1" min="14" max="14"/>
    <col width="30" customWidth="1" min="15" max="15"/>
  </cols>
  <sheetData>
    <row r="1">
      <c r="A1" s="3" t="inlineStr">
        <is>
          <t>Task ID</t>
        </is>
      </c>
      <c r="B1" s="3" t="inlineStr">
        <is>
          <t>Phase</t>
        </is>
      </c>
      <c r="C1" s="3" t="inlineStr">
        <is>
          <t>Phase Name</t>
        </is>
      </c>
      <c r="D1" s="3" t="inlineStr">
        <is>
          <t>Task</t>
        </is>
      </c>
      <c r="E1" s="3" t="inlineStr">
        <is>
          <t>Details</t>
        </is>
      </c>
      <c r="F1" s="3" t="inlineStr">
        <is>
          <t>Project / Area</t>
        </is>
      </c>
      <c r="G1" s="3" t="inlineStr">
        <is>
          <t>Deliverable</t>
        </is>
      </c>
      <c r="H1" s="3" t="inlineStr">
        <is>
          <t>Depends On</t>
        </is>
      </c>
      <c r="I1" s="3" t="inlineStr">
        <is>
          <t>Est. Days</t>
        </is>
      </c>
      <c r="J1" s="3" t="inlineStr">
        <is>
          <t>Doc Page(s)</t>
        </is>
      </c>
      <c r="K1" s="3" t="inlineStr">
        <is>
          <t>Owner</t>
        </is>
      </c>
      <c r="L1" s="3" t="inlineStr">
        <is>
          <t>Start Date</t>
        </is>
      </c>
      <c r="M1" s="3" t="inlineStr">
        <is>
          <t>End Date</t>
        </is>
      </c>
      <c r="N1" s="3" t="inlineStr">
        <is>
          <t>Status</t>
        </is>
      </c>
      <c r="O1" s="3" t="inlineStr">
        <is>
          <t>Notes</t>
        </is>
      </c>
    </row>
    <row r="2">
      <c r="A2" s="5" t="inlineStr">
        <is>
          <t>P0-01</t>
        </is>
      </c>
      <c r="B2" s="5" t="inlineStr">
        <is>
          <t>P0</t>
        </is>
      </c>
      <c r="C2" s="5">
        <f>INDEX(Summary!$B$5:$B$14,MATCH(B2,Summary!$A$5:$A$14,0))</f>
        <v/>
      </c>
      <c r="D2" s="5" t="inlineStr">
        <is>
          <t>Confirm report &amp; result-set inventory</t>
        </is>
      </c>
      <c r="E2" s="5" t="inlineStr">
        <is>
          <t>List every standard report (ReportCode), its SP, and each result set name to snapshot. Mark which reports are in the pilot.</t>
        </is>
      </c>
      <c r="F2" s="5" t="inlineStr">
        <is>
          <t>Analysis</t>
        </is>
      </c>
      <c r="G2" s="5" t="inlineStr">
        <is>
          <t>Report inventory sheet signed off</t>
        </is>
      </c>
      <c r="H2" s="5" t="inlineStr"/>
      <c r="I2" s="13" t="n">
        <v>1.5</v>
      </c>
      <c r="J2" s="5" t="inlineStr">
        <is>
          <t>1, 5</t>
        </is>
      </c>
      <c r="K2" s="14" t="n"/>
      <c r="L2" s="15" t="n"/>
      <c r="M2" s="15" t="n"/>
      <c r="N2" s="14" t="inlineStr">
        <is>
          <t>Not Started</t>
        </is>
      </c>
      <c r="O2" s="14" t="n"/>
    </row>
    <row r="3">
      <c r="A3" s="5" t="inlineStr">
        <is>
          <t>P0-02</t>
        </is>
      </c>
      <c r="B3" s="5" t="inlineStr">
        <is>
          <t>P0</t>
        </is>
      </c>
      <c r="C3" s="5">
        <f>INDEX(Summary!$B$5:$B$14,MATCH(B3,Summary!$A$5:$A$14,0))</f>
        <v/>
      </c>
      <c r="D3" s="5" t="inlineStr">
        <is>
          <t>Define snapshot grain per report</t>
        </is>
      </c>
      <c r="E3" s="5" t="inlineStr">
        <is>
          <t>For each result set confirm it is stored at the grain the UI filters/pages on (payer, clinic, month), not pre-filtered by a user selection. Identify SPs that need a 'no user filter' mode.</t>
        </is>
      </c>
      <c r="F3" s="5" t="inlineStr">
        <is>
          <t>Analysis</t>
        </is>
      </c>
      <c r="G3" s="5" t="inlineStr">
        <is>
          <t>Grain decision per result set</t>
        </is>
      </c>
      <c r="H3" s="5" t="inlineStr">
        <is>
          <t>P0-01</t>
        </is>
      </c>
      <c r="I3" s="13" t="n">
        <v>1.5</v>
      </c>
      <c r="J3" s="5" t="inlineStr">
        <is>
          <t>3</t>
        </is>
      </c>
      <c r="K3" s="14" t="n"/>
      <c r="L3" s="15" t="n"/>
      <c r="M3" s="15" t="n"/>
      <c r="N3" s="14" t="inlineStr">
        <is>
          <t>Not Started</t>
        </is>
      </c>
      <c r="O3" s="14" t="n"/>
    </row>
    <row r="4">
      <c r="A4" s="5" t="inlineStr">
        <is>
          <t>P0-03</t>
        </is>
      </c>
      <c r="B4" s="5" t="inlineStr">
        <is>
          <t>P0</t>
        </is>
      </c>
      <c r="C4" s="5">
        <f>INDEX(Summary!$B$5:$B$14,MATCH(B4,Summary!$A$5:$A$14,0))</f>
        <v/>
      </c>
      <c r="D4" s="5" t="inlineStr">
        <is>
          <t>Decide code location for writer</t>
        </is>
      </c>
      <c r="E4" s="5" t="inlineStr">
        <is>
          <t>Doc says LRN.Snapshots is referenced by 'LRN.ReportEngine', which does not exist in this repo. Confirm it is referenced by LRN.MasterFileProcessorWorker (or LRN.ReportWorker).</t>
        </is>
      </c>
      <c r="F4" s="5" t="inlineStr">
        <is>
          <t>Architecture</t>
        </is>
      </c>
      <c r="G4" s="5" t="inlineStr">
        <is>
          <t>Decision recorded</t>
        </is>
      </c>
      <c r="H4" s="5" t="inlineStr"/>
      <c r="I4" s="13" t="n">
        <v>0.5</v>
      </c>
      <c r="J4" s="5" t="inlineStr">
        <is>
          <t>5</t>
        </is>
      </c>
      <c r="K4" s="14" t="n"/>
      <c r="L4" s="15" t="n"/>
      <c r="M4" s="15" t="n"/>
      <c r="N4" s="14" t="inlineStr">
        <is>
          <t>Not Started</t>
        </is>
      </c>
      <c r="O4" s="14" t="n"/>
    </row>
    <row r="5">
      <c r="A5" s="5" t="inlineStr">
        <is>
          <t>P0-04</t>
        </is>
      </c>
      <c r="B5" s="5" t="inlineStr">
        <is>
          <t>P0</t>
        </is>
      </c>
      <c r="C5" s="5">
        <f>INDEX(Summary!$B$5:$B$14,MATCH(B5,Summary!$A$5:$A$14,0))</f>
        <v/>
      </c>
      <c r="D5" s="5" t="inlineStr">
        <is>
          <t>Review existing blob code for reuse</t>
        </is>
      </c>
      <c r="E5" s="5" t="inlineStr">
        <is>
          <t>Check LRN.AzBlobSync / LRN.DataLibrary for existing BlobContainerClient + DefaultAzureCredential setup to reuse.</t>
        </is>
      </c>
      <c r="F5" s="5" t="inlineStr">
        <is>
          <t>Architecture</t>
        </is>
      </c>
      <c r="G5" s="5" t="inlineStr">
        <is>
          <t>Reuse notes</t>
        </is>
      </c>
      <c r="H5" s="5" t="inlineStr"/>
      <c r="I5" s="13" t="n">
        <v>0.5</v>
      </c>
      <c r="J5" s="5" t="inlineStr">
        <is>
          <t>5</t>
        </is>
      </c>
      <c r="K5" s="14" t="n"/>
      <c r="L5" s="15" t="n"/>
      <c r="M5" s="15" t="n"/>
      <c r="N5" s="14" t="inlineStr">
        <is>
          <t>Not Started</t>
        </is>
      </c>
      <c r="O5" s="14" t="n"/>
    </row>
    <row r="6">
      <c r="A6" s="5" t="inlineStr">
        <is>
          <t>P0-05</t>
        </is>
      </c>
      <c r="B6" s="5" t="inlineStr">
        <is>
          <t>P0</t>
        </is>
      </c>
      <c r="C6" s="5">
        <f>INDEX(Summary!$B$5:$B$14,MATCH(B6,Summary!$A$5:$A$14,0))</f>
        <v/>
      </c>
      <c r="D6" s="5" t="inlineStr">
        <is>
          <t>Define configuration contract</t>
        </is>
      </c>
      <c r="E6" s="5" t="inlineStr">
        <is>
          <t>Options: container name, cacheRoot, RowGroupSize (100,000), Compression (Snappy/Zstd per report), KeepWeekly=5, KeepMonthEnd=5, cache max idle=7 days, per-report SchemaVersion.</t>
        </is>
      </c>
      <c r="F6" s="5" t="inlineStr">
        <is>
          <t>Architecture</t>
        </is>
      </c>
      <c r="G6" s="5" t="inlineStr">
        <is>
          <t>appsettings schema + options classes spec</t>
        </is>
      </c>
      <c r="H6" s="5" t="inlineStr">
        <is>
          <t>P0-01</t>
        </is>
      </c>
      <c r="I6" s="13" t="n">
        <v>0.5</v>
      </c>
      <c r="J6" s="5" t="inlineStr">
        <is>
          <t>4, 5, 18</t>
        </is>
      </c>
      <c r="K6" s="14" t="n"/>
      <c r="L6" s="15" t="n"/>
      <c r="M6" s="15" t="n"/>
      <c r="N6" s="14" t="inlineStr">
        <is>
          <t>Not Started</t>
        </is>
      </c>
      <c r="O6" s="14" t="n"/>
    </row>
    <row r="7">
      <c r="A7" s="5" t="inlineStr">
        <is>
          <t>P1-01</t>
        </is>
      </c>
      <c r="B7" s="5" t="inlineStr">
        <is>
          <t>P1</t>
        </is>
      </c>
      <c r="C7" s="5">
        <f>INDEX(Summary!$B$5:$B$14,MATCH(B7,Summary!$A$5:$A$14,0))</f>
        <v/>
      </c>
      <c r="D7" s="5" t="inlineStr">
        <is>
          <t>Create ReportSnapshotRun table</t>
        </is>
      </c>
      <c r="E7" s="5" t="inlineStr">
        <is>
          <t>LRNMaster: SnapshotRunId, LabId, LabName, RunId, WeekFolder, SnapshotDate, Status (InProgress|Success|Failed), ErrorMessage, CreatedOn, CompletedOn; UQ (LabId, RunId).</t>
        </is>
      </c>
      <c r="F7" s="5" t="inlineStr">
        <is>
          <t>Database/LRNMaster</t>
        </is>
      </c>
      <c r="G7" s="5" t="inlineStr">
        <is>
          <t>Migration script</t>
        </is>
      </c>
      <c r="H7" s="5" t="inlineStr">
        <is>
          <t>P0-05</t>
        </is>
      </c>
      <c r="I7" s="13" t="n">
        <v>0.5</v>
      </c>
      <c r="J7" s="5" t="inlineStr">
        <is>
          <t>10</t>
        </is>
      </c>
      <c r="K7" s="14" t="n"/>
      <c r="L7" s="15" t="n"/>
      <c r="M7" s="15" t="n"/>
      <c r="N7" s="14" t="inlineStr">
        <is>
          <t>Not Started</t>
        </is>
      </c>
      <c r="O7" s="14" t="n"/>
    </row>
    <row r="8">
      <c r="A8" s="5" t="inlineStr">
        <is>
          <t>P1-02</t>
        </is>
      </c>
      <c r="B8" s="5" t="inlineStr">
        <is>
          <t>P1</t>
        </is>
      </c>
      <c r="C8" s="5">
        <f>INDEX(Summary!$B$5:$B$14,MATCH(B8,Summary!$A$5:$A$14,0))</f>
        <v/>
      </c>
      <c r="D8" s="5" t="inlineStr">
        <is>
          <t>Create ReportSnapshotFile table</t>
        </is>
      </c>
      <c r="E8" s="5" t="inlineStr">
        <is>
          <t>FK to run ON DELETE CASCADE; ReportCode, ResultSetName, BlobPath, RowCount, SizeBytes, ContentSha256, SchemaJson, SchemaVersion; UQ (SnapshotRunId, ReportCode, ResultSetName).</t>
        </is>
      </c>
      <c r="F8" s="5" t="inlineStr">
        <is>
          <t>Database/LRNMaster</t>
        </is>
      </c>
      <c r="G8" s="5" t="inlineStr">
        <is>
          <t>Migration script</t>
        </is>
      </c>
      <c r="H8" s="5" t="inlineStr">
        <is>
          <t>P1-01</t>
        </is>
      </c>
      <c r="I8" s="13" t="n">
        <v>0.5</v>
      </c>
      <c r="J8" s="5" t="inlineStr">
        <is>
          <t>10</t>
        </is>
      </c>
      <c r="K8" s="14" t="n"/>
      <c r="L8" s="15" t="n"/>
      <c r="M8" s="15" t="n"/>
      <c r="N8" s="14" t="inlineStr">
        <is>
          <t>Not Started</t>
        </is>
      </c>
      <c r="O8" s="14" t="n"/>
    </row>
    <row r="9">
      <c r="A9" s="5" t="inlineStr">
        <is>
          <t>P1-03</t>
        </is>
      </c>
      <c r="B9" s="5" t="inlineStr">
        <is>
          <t>P1</t>
        </is>
      </c>
      <c r="C9" s="5">
        <f>INDEX(Summary!$B$5:$B$14,MATCH(B9,Summary!$A$5:$A$14,0))</f>
        <v/>
      </c>
      <c r="D9" s="5" t="inlineStr">
        <is>
          <t>Write index stored procedures</t>
        </is>
      </c>
      <c r="E9" s="5" t="inlineStr">
        <is>
          <t>Upsert run (InProgress -&gt; Success/Failed), upsert file row (idempotent on re-run), usp_ReportSnapshot_List @LabId,@ReportCode (Success only, newest first), file lookup by SnapshotRunId+ReportCode+ResultSetName+LabId.</t>
        </is>
      </c>
      <c r="F9" s="5" t="inlineStr">
        <is>
          <t>Database/LRNMaster</t>
        </is>
      </c>
      <c r="G9" s="5" t="inlineStr">
        <is>
          <t>SPs + grants</t>
        </is>
      </c>
      <c r="H9" s="5" t="inlineStr">
        <is>
          <t>P1-02</t>
        </is>
      </c>
      <c r="I9" s="13" t="n">
        <v>1.5</v>
      </c>
      <c r="J9" s="5" t="inlineStr">
        <is>
          <t>10, 11, 17</t>
        </is>
      </c>
      <c r="K9" s="14" t="n"/>
      <c r="L9" s="15" t="n"/>
      <c r="M9" s="15" t="n"/>
      <c r="N9" s="14" t="inlineStr">
        <is>
          <t>Not Started</t>
        </is>
      </c>
      <c r="O9" s="14" t="n"/>
    </row>
    <row r="10">
      <c r="A10" s="5" t="inlineStr">
        <is>
          <t>P1-04</t>
        </is>
      </c>
      <c r="B10" s="5" t="inlineStr">
        <is>
          <t>P1</t>
        </is>
      </c>
      <c r="C10" s="5">
        <f>INDEX(Summary!$B$5:$B$14,MATCH(B10,Summary!$A$5:$A$14,0))</f>
        <v/>
      </c>
      <c r="D10" s="5" t="inlineStr">
        <is>
          <t>Write usp_ReportSnapshot_GetExpired</t>
        </is>
      </c>
      <c r="E10" s="5" t="inlineStr">
        <is>
          <t>@LabId, @KeepWeekly=5, @KeepMonthEnd=5: keep a run if it is one of the 5 latest, or the latest run of one of the 5 latest months; return everything else.</t>
        </is>
      </c>
      <c r="F10" s="5" t="inlineStr">
        <is>
          <t>Database/LRNMaster</t>
        </is>
      </c>
      <c r="G10" s="5" t="inlineStr">
        <is>
          <t>SP + test script</t>
        </is>
      </c>
      <c r="H10" s="5" t="inlineStr">
        <is>
          <t>P1-01</t>
        </is>
      </c>
      <c r="I10" s="13" t="n">
        <v>1</v>
      </c>
      <c r="J10" s="5" t="inlineStr">
        <is>
          <t>18</t>
        </is>
      </c>
      <c r="K10" s="14" t="n"/>
      <c r="L10" s="15" t="n"/>
      <c r="M10" s="15" t="n"/>
      <c r="N10" s="14" t="inlineStr">
        <is>
          <t>Not Started</t>
        </is>
      </c>
      <c r="O10" s="14" t="n"/>
    </row>
    <row r="11">
      <c r="A11" s="5" t="inlineStr">
        <is>
          <t>P1-05</t>
        </is>
      </c>
      <c r="B11" s="5" t="inlineStr">
        <is>
          <t>P1</t>
        </is>
      </c>
      <c r="C11" s="5">
        <f>INDEX(Summary!$B$5:$B$14,MATCH(B11,Summary!$A$5:$A$14,0))</f>
        <v/>
      </c>
      <c r="D11" s="5" t="inlineStr">
        <is>
          <t>Create Blob container report-snapshots</t>
        </is>
      </c>
      <c r="E11" s="5" t="inlineStr">
        <is>
          <t>Private container (no public access) in the storage account; blob soft delete 7-14 days.</t>
        </is>
      </c>
      <c r="F11" s="5" t="inlineStr">
        <is>
          <t>Azure</t>
        </is>
      </c>
      <c r="G11" s="5" t="inlineStr">
        <is>
          <t>Container provisioned</t>
        </is>
      </c>
      <c r="H11" s="5" t="inlineStr"/>
      <c r="I11" s="13" t="n">
        <v>0.5</v>
      </c>
      <c r="J11" s="5" t="inlineStr">
        <is>
          <t>3, 18</t>
        </is>
      </c>
      <c r="K11" s="14" t="n"/>
      <c r="L11" s="15" t="n"/>
      <c r="M11" s="15" t="n"/>
      <c r="N11" s="14" t="inlineStr">
        <is>
          <t>Not Started</t>
        </is>
      </c>
      <c r="O11" s="14" t="n"/>
    </row>
    <row r="12">
      <c r="A12" s="5" t="inlineStr">
        <is>
          <t>P1-06</t>
        </is>
      </c>
      <c r="B12" s="5" t="inlineStr">
        <is>
          <t>P1</t>
        </is>
      </c>
      <c r="C12" s="5">
        <f>INDEX(Summary!$B$5:$B$14,MATCH(B12,Summary!$A$5:$A$14,0))</f>
        <v/>
      </c>
      <c r="D12" s="5" t="inlineStr">
        <is>
          <t>Configure managed identities &amp; RBAC</t>
        </is>
      </c>
      <c r="E12" s="5" t="inlineStr">
        <is>
          <t>Worker = Storage Blob Data Contributor, web app = Storage Blob Data Reader, via DefaultAzureCredential.</t>
        </is>
      </c>
      <c r="F12" s="5" t="inlineStr">
        <is>
          <t>Azure</t>
        </is>
      </c>
      <c r="G12" s="5" t="inlineStr">
        <is>
          <t>Role assignments</t>
        </is>
      </c>
      <c r="H12" s="5" t="inlineStr">
        <is>
          <t>P1-05</t>
        </is>
      </c>
      <c r="I12" s="13" t="n">
        <v>0.5</v>
      </c>
      <c r="J12" s="5" t="inlineStr">
        <is>
          <t>18</t>
        </is>
      </c>
      <c r="K12" s="14" t="n"/>
      <c r="L12" s="15" t="n"/>
      <c r="M12" s="15" t="n"/>
      <c r="N12" s="14" t="inlineStr">
        <is>
          <t>Not Started</t>
        </is>
      </c>
      <c r="O12" s="14" t="n"/>
    </row>
    <row r="13">
      <c r="A13" s="5" t="inlineStr">
        <is>
          <t>P1-07</t>
        </is>
      </c>
      <c r="B13" s="5" t="inlineStr">
        <is>
          <t>P1</t>
        </is>
      </c>
      <c r="C13" s="5">
        <f>INDEX(Summary!$B$5:$B$14,MATCH(B13,Summary!$A$5:$A$14,0))</f>
        <v/>
      </c>
      <c r="D13" s="5" t="inlineStr">
        <is>
          <t>Network &amp; encryption controls</t>
        </is>
      </c>
      <c r="E13" s="5" t="inlineStr">
        <is>
          <t>Private endpoint or storage firewall limited to the VM/VNet; confirm at-rest encryption (CMK if compliance requires).</t>
        </is>
      </c>
      <c r="F13" s="5" t="inlineStr">
        <is>
          <t>Azure</t>
        </is>
      </c>
      <c r="G13" s="5" t="inlineStr">
        <is>
          <t>Network rule / endpoint</t>
        </is>
      </c>
      <c r="H13" s="5" t="inlineStr">
        <is>
          <t>P1-05</t>
        </is>
      </c>
      <c r="I13" s="13" t="n">
        <v>1</v>
      </c>
      <c r="J13" s="5" t="inlineStr">
        <is>
          <t>18</t>
        </is>
      </c>
      <c r="K13" s="14" t="n"/>
      <c r="L13" s="15" t="n"/>
      <c r="M13" s="15" t="n"/>
      <c r="N13" s="14" t="inlineStr">
        <is>
          <t>Not Started</t>
        </is>
      </c>
      <c r="O13" s="14" t="n"/>
    </row>
    <row r="14">
      <c r="A14" s="5" t="inlineStr">
        <is>
          <t>P1-08</t>
        </is>
      </c>
      <c r="B14" s="5" t="inlineStr">
        <is>
          <t>P1</t>
        </is>
      </c>
      <c r="C14" s="5">
        <f>INDEX(Summary!$B$5:$B$14,MATCH(B14,Summary!$A$5:$A$14,0))</f>
        <v/>
      </c>
      <c r="D14" s="5" t="inlineStr">
        <is>
          <t>Lifecycle management rule</t>
        </is>
      </c>
      <c r="E14" s="5" t="inlineStr">
        <is>
          <t>Safety net: move to Cool after 45 days, delete after 200 days. Never Archive tier.</t>
        </is>
      </c>
      <c r="F14" s="5" t="inlineStr">
        <is>
          <t>Azure</t>
        </is>
      </c>
      <c r="G14" s="5" t="inlineStr">
        <is>
          <t>Lifecycle policy</t>
        </is>
      </c>
      <c r="H14" s="5" t="inlineStr">
        <is>
          <t>P1-05</t>
        </is>
      </c>
      <c r="I14" s="13" t="n">
        <v>0.25</v>
      </c>
      <c r="J14" s="5" t="inlineStr">
        <is>
          <t>19</t>
        </is>
      </c>
      <c r="K14" s="14" t="n"/>
      <c r="L14" s="15" t="n"/>
      <c r="M14" s="15" t="n"/>
      <c r="N14" s="14" t="inlineStr">
        <is>
          <t>Not Started</t>
        </is>
      </c>
      <c r="O14" s="14" t="n"/>
    </row>
    <row r="15">
      <c r="A15" s="5" t="inlineStr">
        <is>
          <t>P1-09</t>
        </is>
      </c>
      <c r="B15" s="5" t="inlineStr">
        <is>
          <t>P1</t>
        </is>
      </c>
      <c r="C15" s="5">
        <f>INDEX(Summary!$B$5:$B$14,MATCH(B15,Summary!$A$5:$A$14,0))</f>
        <v/>
      </c>
      <c r="D15" s="5" t="inlineStr">
        <is>
          <t>Web cache folder &amp; ACL</t>
        </is>
      </c>
      <c r="E15" s="5" t="inlineStr">
        <is>
          <t>Create the local cache folder on the web server with restricted ACL (PHI).</t>
        </is>
      </c>
      <c r="F15" s="5" t="inlineStr">
        <is>
          <t>Infra/Web server</t>
        </is>
      </c>
      <c r="G15" s="5" t="inlineStr">
        <is>
          <t>Folder + ACL</t>
        </is>
      </c>
      <c r="H15" s="5" t="inlineStr"/>
      <c r="I15" s="13" t="n">
        <v>0.25</v>
      </c>
      <c r="J15" s="5" t="inlineStr">
        <is>
          <t>19</t>
        </is>
      </c>
      <c r="K15" s="14" t="n"/>
      <c r="L15" s="15" t="n"/>
      <c r="M15" s="15" t="n"/>
      <c r="N15" s="14" t="inlineStr">
        <is>
          <t>Not Started</t>
        </is>
      </c>
      <c r="O15" s="14" t="n"/>
    </row>
    <row r="16">
      <c r="A16" s="5" t="inlineStr">
        <is>
          <t>P2-01</t>
        </is>
      </c>
      <c r="B16" s="5" t="inlineStr">
        <is>
          <t>P2</t>
        </is>
      </c>
      <c r="C16" s="5">
        <f>INDEX(Summary!$B$5:$B$14,MATCH(B16,Summary!$A$5:$A$14,0))</f>
        <v/>
      </c>
      <c r="D16" s="5" t="inlineStr">
        <is>
          <t>Create LRN.Snapshots class library</t>
        </is>
      </c>
      <c r="E16" s="5" t="inlineStr">
        <is>
          <t>New project; add Parquet.Net, DuckDB.NET.Data.Full, Azure.Storage.Blobs, Azure.Identity, Microsoft.Data.SqlClient. Add to solution.</t>
        </is>
      </c>
      <c r="F16" s="5" t="inlineStr">
        <is>
          <t>LRN.Snapshots</t>
        </is>
      </c>
      <c r="G16" s="5" t="inlineStr">
        <is>
          <t>Project skeleton</t>
        </is>
      </c>
      <c r="H16" s="5" t="inlineStr">
        <is>
          <t>P0-03</t>
        </is>
      </c>
      <c r="I16" s="13" t="n">
        <v>0.5</v>
      </c>
      <c r="J16" s="5" t="inlineStr">
        <is>
          <t>5</t>
        </is>
      </c>
      <c r="K16" s="14" t="n"/>
      <c r="L16" s="15" t="n"/>
      <c r="M16" s="15" t="n"/>
      <c r="N16" s="14" t="inlineStr">
        <is>
          <t>Not Started</t>
        </is>
      </c>
      <c r="O16" s="14" t="n"/>
    </row>
    <row r="17">
      <c r="A17" s="5" t="inlineStr">
        <is>
          <t>P2-02</t>
        </is>
      </c>
      <c r="B17" s="5" t="inlineStr">
        <is>
          <t>P2</t>
        </is>
      </c>
      <c r="C17" s="5">
        <f>INDEX(Summary!$B$5:$B$14,MATCH(B17,Summary!$A$5:$A$14,0))</f>
        <v/>
      </c>
      <c r="D17" s="5" t="inlineStr">
        <is>
          <t>Options &amp; blob path builder</t>
        </is>
      </c>
      <c r="E17" s="5" t="inlineStr">
        <is>
          <t>SnapshotOptions binding; deterministic path {labCode}/{yyyy}/{weekFolder}/{runId}/{reportCode}/{resultSetName}.v{schemaVersion}.parquet.</t>
        </is>
      </c>
      <c r="F17" s="5" t="inlineStr">
        <is>
          <t>LRN.Snapshots</t>
        </is>
      </c>
      <c r="G17" s="5" t="inlineStr">
        <is>
          <t>SnapshotOptions, BlobPathBuilder</t>
        </is>
      </c>
      <c r="H17" s="5" t="inlineStr">
        <is>
          <t>P2-01, P0-05</t>
        </is>
      </c>
      <c r="I17" s="13" t="n">
        <v>0.5</v>
      </c>
      <c r="J17" s="5" t="inlineStr">
        <is>
          <t>3</t>
        </is>
      </c>
      <c r="K17" s="14" t="n"/>
      <c r="L17" s="15" t="n"/>
      <c r="M17" s="15" t="n"/>
      <c r="N17" s="14" t="inlineStr">
        <is>
          <t>Not Started</t>
        </is>
      </c>
      <c r="O17" s="14" t="n"/>
    </row>
    <row r="18">
      <c r="A18" s="5" t="inlineStr">
        <is>
          <t>P2-03</t>
        </is>
      </c>
      <c r="B18" s="5" t="inlineStr">
        <is>
          <t>P2</t>
        </is>
      </c>
      <c r="C18" s="5">
        <f>INDEX(Summary!$B$5:$B$14,MATCH(B18,Summary!$A$5:$A$14,0))</f>
        <v/>
      </c>
      <c r="D18" s="5" t="inlineStr">
        <is>
          <t>ParquetSnapshotWriter</t>
        </is>
      </c>
      <c r="E18" s="5" t="inlineStr">
        <is>
          <t>DbDataReader -&gt; Parquet: schema from GetColumnSchema(), unique names (Col{n}, _1/_2), 100,000-row groups, typed buffers, empty report still writes a valid file, returns RowCount + SchemaJson.</t>
        </is>
      </c>
      <c r="F18" s="5" t="inlineStr">
        <is>
          <t>LRN.Snapshots</t>
        </is>
      </c>
      <c r="G18" s="5" t="inlineStr">
        <is>
          <t>ParquetSnapshotWriter.cs</t>
        </is>
      </c>
      <c r="H18" s="5" t="inlineStr">
        <is>
          <t>P2-01</t>
        </is>
      </c>
      <c r="I18" s="13" t="n">
        <v>2</v>
      </c>
      <c r="J18" s="5" t="inlineStr">
        <is>
          <t>6-9</t>
        </is>
      </c>
      <c r="K18" s="14" t="n"/>
      <c r="L18" s="15" t="n"/>
      <c r="M18" s="15" t="n"/>
      <c r="N18" s="14" t="inlineStr">
        <is>
          <t>Not Started</t>
        </is>
      </c>
      <c r="O18" s="14" t="n"/>
    </row>
    <row r="19">
      <c r="A19" s="5" t="inlineStr">
        <is>
          <t>P2-04</t>
        </is>
      </c>
      <c r="B19" s="5" t="inlineStr">
        <is>
          <t>P2</t>
        </is>
      </c>
      <c r="C19" s="5">
        <f>INDEX(Summary!$B$5:$B$14,MATCH(B19,Summary!$A$5:$A$14,0))</f>
        <v/>
      </c>
      <c r="D19" s="5" t="inlineStr">
        <is>
          <t>SQL -&gt; Parquet type mapping</t>
        </is>
      </c>
      <c r="E19" s="5" t="inlineStr">
        <is>
          <t>Implement mapping table: ints nullable, decimal(p,s) from schema (money -&gt; 19,4), float/real, bit, date/datetime -&gt; TIMESTAMP, datetimeoffset -&gt; UTC, strings UTF8, Guid/sql_variant -&gt; string, varbinary.</t>
        </is>
      </c>
      <c r="F19" s="5" t="inlineStr">
        <is>
          <t>LRN.Snapshots</t>
        </is>
      </c>
      <c r="G19" s="5" t="inlineStr">
        <is>
          <t>Map() + unit tests</t>
        </is>
      </c>
      <c r="H19" s="5" t="inlineStr">
        <is>
          <t>P2-03</t>
        </is>
      </c>
      <c r="I19" s="13" t="n">
        <v>1</v>
      </c>
      <c r="J19" s="5" t="inlineStr">
        <is>
          <t>4, 8</t>
        </is>
      </c>
      <c r="K19" s="14" t="n"/>
      <c r="L19" s="15" t="n"/>
      <c r="M19" s="15" t="n"/>
      <c r="N19" s="14" t="inlineStr">
        <is>
          <t>Not Started</t>
        </is>
      </c>
      <c r="O19" s="14" t="n"/>
    </row>
    <row r="20">
      <c r="A20" s="5" t="inlineStr">
        <is>
          <t>P2-05</t>
        </is>
      </c>
      <c r="B20" s="5" t="inlineStr">
        <is>
          <t>P2</t>
        </is>
      </c>
      <c r="C20" s="5">
        <f>INDEX(Summary!$B$5:$B$14,MATCH(B20,Summary!$A$5:$A$14,0))</f>
        <v/>
      </c>
      <c r="D20" s="5" t="inlineStr">
        <is>
          <t>DuckDB row-count validator</t>
        </is>
      </c>
      <c r="E20" s="5" t="inlineStr">
        <is>
          <t>SELECT COUNT(*) FROM read_parquet(path) must equal rows written; throw on mismatch.</t>
        </is>
      </c>
      <c r="F20" s="5" t="inlineStr">
        <is>
          <t>LRN.Snapshots</t>
        </is>
      </c>
      <c r="G20" s="5" t="inlineStr">
        <is>
          <t>SnapshotValidator</t>
        </is>
      </c>
      <c r="H20" s="5" t="inlineStr">
        <is>
          <t>P2-03</t>
        </is>
      </c>
      <c r="I20" s="13" t="n">
        <v>0.5</v>
      </c>
      <c r="J20" s="5" t="inlineStr">
        <is>
          <t>9</t>
        </is>
      </c>
      <c r="K20" s="14" t="n"/>
      <c r="L20" s="15" t="n"/>
      <c r="M20" s="15" t="n"/>
      <c r="N20" s="14" t="inlineStr">
        <is>
          <t>Not Started</t>
        </is>
      </c>
      <c r="O20" s="14" t="n"/>
    </row>
    <row r="21">
      <c r="A21" s="5" t="inlineStr">
        <is>
          <t>P2-06</t>
        </is>
      </c>
      <c r="B21" s="5" t="inlineStr">
        <is>
          <t>P2</t>
        </is>
      </c>
      <c r="C21" s="5">
        <f>INDEX(Summary!$B$5:$B$14,MATCH(B21,Summary!$A$5:$A$14,0))</f>
        <v/>
      </c>
      <c r="D21" s="5" t="inlineStr">
        <is>
          <t>Blob snapshot store</t>
        </is>
      </c>
      <c r="E21" s="5" t="inlineStr">
        <is>
          <t>SHA-256 hash, upload with overwrite, ContentType application/vnd.apache.parquet, metadata sha256; delete blobs for retention; download for cache.</t>
        </is>
      </c>
      <c r="F21" s="5" t="inlineStr">
        <is>
          <t>LRN.Snapshots</t>
        </is>
      </c>
      <c r="G21" s="5" t="inlineStr">
        <is>
          <t>BlobSnapshotStore</t>
        </is>
      </c>
      <c r="H21" s="5" t="inlineStr">
        <is>
          <t>P2-02</t>
        </is>
      </c>
      <c r="I21" s="13" t="n">
        <v>1</v>
      </c>
      <c r="J21" s="5" t="inlineStr">
        <is>
          <t>3, 9</t>
        </is>
      </c>
      <c r="K21" s="14" t="n"/>
      <c r="L21" s="15" t="n"/>
      <c r="M21" s="15" t="n"/>
      <c r="N21" s="14" t="inlineStr">
        <is>
          <t>Not Started</t>
        </is>
      </c>
      <c r="O21" s="14" t="n"/>
    </row>
    <row r="22">
      <c r="A22" s="5" t="inlineStr">
        <is>
          <t>P2-07</t>
        </is>
      </c>
      <c r="B22" s="5" t="inlineStr">
        <is>
          <t>P2</t>
        </is>
      </c>
      <c r="C22" s="5">
        <f>INDEX(Summary!$B$5:$B$14,MATCH(B22,Summary!$A$5:$A$14,0))</f>
        <v/>
      </c>
      <c r="D22" s="5" t="inlineStr">
        <is>
          <t>Snapshot index repository</t>
        </is>
      </c>
      <c r="E22" s="5" t="inlineStr">
        <is>
          <t>ISnapshotIndex: StartRun, AddFileAsync(SnapshotFileInfo), CompleteRun/FailRun, ListAsync (catalog), GetFile (with LabId check), GetExpired, DeleteRun.</t>
        </is>
      </c>
      <c r="F22" s="5" t="inlineStr">
        <is>
          <t>LRN.Snapshots</t>
        </is>
      </c>
      <c r="G22" s="5" t="inlineStr">
        <is>
          <t>SqlSnapshotIndex</t>
        </is>
      </c>
      <c r="H22" s="5" t="inlineStr">
        <is>
          <t>P1-03, P1-04</t>
        </is>
      </c>
      <c r="I22" s="13" t="n">
        <v>1.5</v>
      </c>
      <c r="J22" s="5" t="inlineStr">
        <is>
          <t>9, 10, 17, 18</t>
        </is>
      </c>
      <c r="K22" s="14" t="n"/>
      <c r="L22" s="15" t="n"/>
      <c r="M22" s="15" t="n"/>
      <c r="N22" s="14" t="inlineStr">
        <is>
          <t>Not Started</t>
        </is>
      </c>
      <c r="O22" s="14" t="n"/>
    </row>
    <row r="23">
      <c r="A23" s="5" t="inlineStr">
        <is>
          <t>P2-08</t>
        </is>
      </c>
      <c r="B23" s="5" t="inlineStr">
        <is>
          <t>P2</t>
        </is>
      </c>
      <c r="C23" s="5">
        <f>INDEX(Summary!$B$5:$B$14,MATCH(B23,Summary!$A$5:$A$14,0))</f>
        <v/>
      </c>
      <c r="D23" s="5" t="inlineStr">
        <is>
          <t>SnapshotFileCache</t>
        </is>
      </c>
      <c r="E23" s="5" t="inlineStr">
        <is>
          <t>Cache by {cacheRoot}/{sha256}.parquet, per-file SemaphoreSlim, download to .part then move, touch LastAccessTime, Purge(maxIdle).</t>
        </is>
      </c>
      <c r="F23" s="5" t="inlineStr">
        <is>
          <t>LRN.Snapshots</t>
        </is>
      </c>
      <c r="G23" s="5" t="inlineStr">
        <is>
          <t>SnapshotFileCache</t>
        </is>
      </c>
      <c r="H23" s="5" t="inlineStr">
        <is>
          <t>P2-06</t>
        </is>
      </c>
      <c r="I23" s="13" t="n">
        <v>1</v>
      </c>
      <c r="J23" s="5" t="inlineStr">
        <is>
          <t>11-12</t>
        </is>
      </c>
      <c r="K23" s="14" t="n"/>
      <c r="L23" s="15" t="n"/>
      <c r="M23" s="15" t="n"/>
      <c r="N23" s="14" t="inlineStr">
        <is>
          <t>Not Started</t>
        </is>
      </c>
      <c r="O23" s="14" t="n"/>
    </row>
    <row r="24">
      <c r="A24" s="5" t="inlineStr">
        <is>
          <t>P2-09</t>
        </is>
      </c>
      <c r="B24" s="5" t="inlineStr">
        <is>
          <t>P2</t>
        </is>
      </c>
      <c r="C24" s="5">
        <f>INDEX(Summary!$B$5:$B$14,MATCH(B24,Summary!$A$5:$A$14,0))</f>
        <v/>
      </c>
      <c r="D24" s="5" t="inlineStr">
        <is>
          <t>ParquetReportReader (QueryAsync + CountAsync)</t>
        </is>
      </c>
      <c r="E24" s="5" t="inlineStr">
        <is>
          <t>In-memory DuckDB; column whitelist via DESCRIBE; parameterised filter values; quoted identifiers; ORDER BY only on known column; LIMIT/OFFSET paging; CountAsync with same WHERE.</t>
        </is>
      </c>
      <c r="F24" s="5" t="inlineStr">
        <is>
          <t>LRN.Snapshots</t>
        </is>
      </c>
      <c r="G24" s="5" t="inlineStr">
        <is>
          <t>ParquetReportReader</t>
        </is>
      </c>
      <c r="H24" s="5" t="inlineStr">
        <is>
          <t>P2-01</t>
        </is>
      </c>
      <c r="I24" s="13" t="n">
        <v>1.5</v>
      </c>
      <c r="J24" s="5" t="inlineStr">
        <is>
          <t>12-13</t>
        </is>
      </c>
      <c r="K24" s="14" t="n"/>
      <c r="L24" s="15" t="n"/>
      <c r="M24" s="15" t="n"/>
      <c r="N24" s="14" t="inlineStr">
        <is>
          <t>Not Started</t>
        </is>
      </c>
      <c r="O24" s="14" t="n"/>
    </row>
    <row r="25">
      <c r="A25" s="5" t="inlineStr">
        <is>
          <t>P2-10</t>
        </is>
      </c>
      <c r="B25" s="5" t="inlineStr">
        <is>
          <t>P2</t>
        </is>
      </c>
      <c r="C25" s="5">
        <f>INDEX(Summary!$B$5:$B$14,MATCH(B25,Summary!$A$5:$A$14,0))</f>
        <v/>
      </c>
      <c r="D25" s="5" t="inlineStr">
        <is>
          <t>Extend ReportQuery for range / IN filters</t>
        </is>
      </c>
      <c r="E25" s="5" t="inlineStr">
        <is>
          <t>Doc's reader only does equality. Add date-range and IN-list filter types so live SP filters can be mirrored.</t>
        </is>
      </c>
      <c r="F25" s="5" t="inlineStr">
        <is>
          <t>LRN.Snapshots</t>
        </is>
      </c>
      <c r="G25" s="5" t="inlineStr">
        <is>
          <t>Filter model + WHERE builder</t>
        </is>
      </c>
      <c r="H25" s="5" t="inlineStr">
        <is>
          <t>P2-09</t>
        </is>
      </c>
      <c r="I25" s="13" t="n">
        <v>1</v>
      </c>
      <c r="J25" s="5" t="inlineStr">
        <is>
          <t>14</t>
        </is>
      </c>
      <c r="K25" s="14" t="n"/>
      <c r="L25" s="15" t="n"/>
      <c r="M25" s="15" t="n"/>
      <c r="N25" s="14" t="inlineStr">
        <is>
          <t>Not Started</t>
        </is>
      </c>
      <c r="O25" s="14" t="n"/>
    </row>
    <row r="26">
      <c r="A26" s="5" t="inlineStr">
        <is>
          <t>P2-11</t>
        </is>
      </c>
      <c r="B26" s="5" t="inlineStr">
        <is>
          <t>P2</t>
        </is>
      </c>
      <c r="C26" s="5">
        <f>INDEX(Summary!$B$5:$B$14,MATCH(B26,Summary!$A$5:$A$14,0))</f>
        <v/>
      </c>
      <c r="D26" s="5" t="inlineStr">
        <is>
          <t>Unit tests for LRN.Snapshots</t>
        </is>
      </c>
      <c r="E26" s="5" t="inlineStr">
        <is>
          <t>Round-trip write/read per SQL type, decimals precision/scale, NULLs, empty file, duplicate column names, injection-safe filter/sort.</t>
        </is>
      </c>
      <c r="F26" s="5" t="inlineStr">
        <is>
          <t>tests</t>
        </is>
      </c>
      <c r="G26" s="5" t="inlineStr">
        <is>
          <t>LRN.Snapshots.Tests</t>
        </is>
      </c>
      <c r="H26" s="5" t="inlineStr">
        <is>
          <t>P2-03..P2-10</t>
        </is>
      </c>
      <c r="I26" s="13" t="n">
        <v>2</v>
      </c>
      <c r="J26" s="5" t="inlineStr">
        <is>
          <t>19</t>
        </is>
      </c>
      <c r="K26" s="14" t="n"/>
      <c r="L26" s="15" t="n"/>
      <c r="M26" s="15" t="n"/>
      <c r="N26" s="14" t="inlineStr">
        <is>
          <t>Not Started</t>
        </is>
      </c>
      <c r="O26" s="14" t="n"/>
    </row>
    <row r="27">
      <c r="A27" s="5" t="inlineStr">
        <is>
          <t>P3-01</t>
        </is>
      </c>
      <c r="B27" s="5" t="inlineStr">
        <is>
          <t>P3</t>
        </is>
      </c>
      <c r="C27" s="5">
        <f>INDEX(Summary!$B$5:$B$14,MATCH(B27,Summary!$A$5:$A$14,0))</f>
        <v/>
      </c>
      <c r="D27" s="5" t="inlineStr">
        <is>
          <t>Report snapshot definitions config</t>
        </is>
      </c>
      <c r="E27" s="5" t="inlineStr">
        <is>
          <t>Per report: ReportCode, SP name, parameters, result set names, SchemaVersion, compression override, enabled flag, pilot labs list.</t>
        </is>
      </c>
      <c r="F27" s="5" t="inlineStr">
        <is>
          <t>LRN.MasterFileProcessorWorker</t>
        </is>
      </c>
      <c r="G27" s="5" t="inlineStr">
        <is>
          <t>Config + ReportSnapshotDefinition</t>
        </is>
      </c>
      <c r="H27" s="5" t="inlineStr">
        <is>
          <t>P0-01, P2-02</t>
        </is>
      </c>
      <c r="I27" s="13" t="n">
        <v>0.5</v>
      </c>
      <c r="J27" s="5" t="inlineStr">
        <is>
          <t>5</t>
        </is>
      </c>
      <c r="K27" s="14" t="n"/>
      <c r="L27" s="15" t="n"/>
      <c r="M27" s="15" t="n"/>
      <c r="N27" s="14" t="inlineStr">
        <is>
          <t>Not Started</t>
        </is>
      </c>
      <c r="O27" s="14" t="n"/>
    </row>
    <row r="28">
      <c r="A28" s="5" t="inlineStr">
        <is>
          <t>P3-02</t>
        </is>
      </c>
      <c r="B28" s="5" t="inlineStr">
        <is>
          <t>P3</t>
        </is>
      </c>
      <c r="C28" s="5">
        <f>INDEX(Summary!$B$5:$B$14,MATCH(B28,Summary!$A$5:$A$14,0))</f>
        <v/>
      </c>
      <c r="D28" s="5" t="inlineStr">
        <is>
          <t>Snapshot orchestrator service</t>
        </is>
      </c>
      <c r="E28" s="5" t="inlineStr">
        <is>
          <t>After a lab's weekly run is marked Success: start run (InProgress), execute each SP with CommandBehavior.SequentialAccess, write each result set to a temp file, validate, upload, register, mark Success.</t>
        </is>
      </c>
      <c r="F28" s="5" t="inlineStr">
        <is>
          <t>LRN.MasterFileProcessorWorker</t>
        </is>
      </c>
      <c r="G28" s="5" t="inlineStr">
        <is>
          <t>ReportSnapshotService</t>
        </is>
      </c>
      <c r="H28" s="5" t="inlineStr">
        <is>
          <t>P3-01, P2-03..P2-07</t>
        </is>
      </c>
      <c r="I28" s="13" t="n">
        <v>2</v>
      </c>
      <c r="J28" s="5" t="inlineStr">
        <is>
          <t>5, 9</t>
        </is>
      </c>
      <c r="K28" s="14" t="n"/>
      <c r="L28" s="15" t="n"/>
      <c r="M28" s="15" t="n"/>
      <c r="N28" s="14" t="inlineStr">
        <is>
          <t>Not Started</t>
        </is>
      </c>
      <c r="O28" s="14" t="n"/>
    </row>
    <row r="29">
      <c r="A29" s="5" t="inlineStr">
        <is>
          <t>P3-03</t>
        </is>
      </c>
      <c r="B29" s="5" t="inlineStr">
        <is>
          <t>P3</t>
        </is>
      </c>
      <c r="C29" s="5">
        <f>INDEX(Summary!$B$5:$B$14,MATCH(B29,Summary!$A$5:$A$14,0))</f>
        <v/>
      </c>
      <c r="D29" s="5" t="inlineStr">
        <is>
          <t>Hook into weekly run completion</t>
        </is>
      </c>
      <c r="E29" s="5" t="inlineStr">
        <is>
          <t>Call the orchestrator at the point the weekly run is marked Success; must not block or fail the weekly load.</t>
        </is>
      </c>
      <c r="F29" s="5" t="inlineStr">
        <is>
          <t>LRN.MasterFileProcessorWorker</t>
        </is>
      </c>
      <c r="G29" s="5" t="inlineStr">
        <is>
          <t>Integration point</t>
        </is>
      </c>
      <c r="H29" s="5" t="inlineStr">
        <is>
          <t>P3-02</t>
        </is>
      </c>
      <c r="I29" s="13" t="n">
        <v>1</v>
      </c>
      <c r="J29" s="5" t="inlineStr">
        <is>
          <t>5, 10</t>
        </is>
      </c>
      <c r="K29" s="14" t="n"/>
      <c r="L29" s="15" t="n"/>
      <c r="M29" s="15" t="n"/>
      <c r="N29" s="14" t="inlineStr">
        <is>
          <t>Not Started</t>
        </is>
      </c>
      <c r="O29" s="14" t="n"/>
    </row>
    <row r="30">
      <c r="A30" s="5" t="inlineStr">
        <is>
          <t>P3-04</t>
        </is>
      </c>
      <c r="B30" s="5" t="inlineStr">
        <is>
          <t>P3</t>
        </is>
      </c>
      <c r="C30" s="5">
        <f>INDEX(Summary!$B$5:$B$14,MATCH(B30,Summary!$A$5:$A$14,0))</f>
        <v/>
      </c>
      <c r="D30" s="5" t="inlineStr">
        <is>
          <t>Failure isolation &amp; retry</t>
        </is>
      </c>
      <c r="E30" s="5" t="inlineStr">
        <is>
          <t>Catch all snapshot errors: Status=Failed, ErrorMessage, write LRN_Error_Log; retry failed/missing runs next cycle.</t>
        </is>
      </c>
      <c r="F30" s="5" t="inlineStr">
        <is>
          <t>LRN.MasterFileProcessorWorker</t>
        </is>
      </c>
      <c r="G30" s="5" t="inlineStr">
        <is>
          <t>Error handling + retry</t>
        </is>
      </c>
      <c r="H30" s="5" t="inlineStr">
        <is>
          <t>P3-02</t>
        </is>
      </c>
      <c r="I30" s="13" t="n">
        <v>1</v>
      </c>
      <c r="J30" s="5" t="inlineStr">
        <is>
          <t>10</t>
        </is>
      </c>
      <c r="K30" s="14" t="n"/>
      <c r="L30" s="15" t="n"/>
      <c r="M30" s="15" t="n"/>
      <c r="N30" s="14" t="inlineStr">
        <is>
          <t>Not Started</t>
        </is>
      </c>
      <c r="O30" s="14" t="n"/>
    </row>
    <row r="31">
      <c r="A31" s="5" t="inlineStr">
        <is>
          <t>P3-05</t>
        </is>
      </c>
      <c r="B31" s="5" t="inlineStr">
        <is>
          <t>P3</t>
        </is>
      </c>
      <c r="C31" s="5">
        <f>INDEX(Summary!$B$5:$B$14,MATCH(B31,Summary!$A$5:$A$14,0))</f>
        <v/>
      </c>
      <c r="D31" s="5" t="inlineStr">
        <is>
          <t>Idempotent re-run</t>
        </is>
      </c>
      <c r="E31" s="5" t="inlineStr">
        <is>
          <t>Re-running same RunId overwrites blobs and upserts file rows (no duplicates).</t>
        </is>
      </c>
      <c r="F31" s="5" t="inlineStr">
        <is>
          <t>LRN.MasterFileProcessorWorker</t>
        </is>
      </c>
      <c r="G31" s="5" t="inlineStr">
        <is>
          <t>Upsert logic</t>
        </is>
      </c>
      <c r="H31" s="5" t="inlineStr">
        <is>
          <t>P3-02, P1-03</t>
        </is>
      </c>
      <c r="I31" s="13" t="n">
        <v>0.5</v>
      </c>
      <c r="J31" s="5" t="inlineStr">
        <is>
          <t>3, 19</t>
        </is>
      </c>
      <c r="K31" s="14" t="n"/>
      <c r="L31" s="15" t="n"/>
      <c r="M31" s="15" t="n"/>
      <c r="N31" s="14" t="inlineStr">
        <is>
          <t>Not Started</t>
        </is>
      </c>
      <c r="O31" s="14" t="n"/>
    </row>
    <row r="32">
      <c r="A32" s="5" t="inlineStr">
        <is>
          <t>P3-06</t>
        </is>
      </c>
      <c r="B32" s="5" t="inlineStr">
        <is>
          <t>P3</t>
        </is>
      </c>
      <c r="C32" s="5">
        <f>INDEX(Summary!$B$5:$B$14,MATCH(B32,Summary!$A$5:$A$14,0))</f>
        <v/>
      </c>
      <c r="D32" s="5" t="inlineStr">
        <is>
          <t>Retention job</t>
        </is>
      </c>
      <c r="E32" s="5" t="inlineStr">
        <is>
          <t>After each successful snapshot: GetExpired -&gt; delete blobs first -&gt; delete ReportSnapshotRun (files cascade). Counts from config.</t>
        </is>
      </c>
      <c r="F32" s="5" t="inlineStr">
        <is>
          <t>LRN.MasterFileProcessorWorker</t>
        </is>
      </c>
      <c r="G32" s="5" t="inlineStr">
        <is>
          <t>RetentionService</t>
        </is>
      </c>
      <c r="H32" s="5" t="inlineStr">
        <is>
          <t>P1-04, P2-06, P2-07</t>
        </is>
      </c>
      <c r="I32" s="13" t="n">
        <v>1</v>
      </c>
      <c r="J32" s="5" t="inlineStr">
        <is>
          <t>18</t>
        </is>
      </c>
      <c r="K32" s="14" t="n"/>
      <c r="L32" s="15" t="n"/>
      <c r="M32" s="15" t="n"/>
      <c r="N32" s="14" t="inlineStr">
        <is>
          <t>Not Started</t>
        </is>
      </c>
      <c r="O32" s="14" t="n"/>
    </row>
    <row r="33">
      <c r="A33" s="5" t="inlineStr">
        <is>
          <t>P3-07</t>
        </is>
      </c>
      <c r="B33" s="5" t="inlineStr">
        <is>
          <t>P3</t>
        </is>
      </c>
      <c r="C33" s="5">
        <f>INDEX(Summary!$B$5:$B$14,MATCH(B33,Summary!$A$5:$A$14,0))</f>
        <v/>
      </c>
      <c r="D33" s="5" t="inlineStr">
        <is>
          <t>Temp file cleanup, logging &amp; metrics</t>
        </is>
      </c>
      <c r="E33" s="5" t="inlineStr">
        <is>
          <t>Delete local temp parquet after upload; log per-file rows, size, duration; snapshot run duration.</t>
        </is>
      </c>
      <c r="F33" s="5" t="inlineStr">
        <is>
          <t>LRN.MasterFileProcessorWorker</t>
        </is>
      </c>
      <c r="G33" s="5" t="inlineStr">
        <is>
          <t>Logging</t>
        </is>
      </c>
      <c r="H33" s="5" t="inlineStr">
        <is>
          <t>P3-02</t>
        </is>
      </c>
      <c r="I33" s="13" t="n">
        <v>0.5</v>
      </c>
      <c r="J33" s="5" t="inlineStr">
        <is>
          <t>20</t>
        </is>
      </c>
      <c r="K33" s="14" t="n"/>
      <c r="L33" s="15" t="n"/>
      <c r="M33" s="15" t="n"/>
      <c r="N33" s="14" t="inlineStr">
        <is>
          <t>Not Started</t>
        </is>
      </c>
      <c r="O33" s="14" t="n"/>
    </row>
    <row r="34">
      <c r="A34" s="5" t="inlineStr">
        <is>
          <t>P3-08</t>
        </is>
      </c>
      <c r="B34" s="5" t="inlineStr">
        <is>
          <t>P3</t>
        </is>
      </c>
      <c r="C34" s="5">
        <f>INDEX(Summary!$B$5:$B$14,MATCH(B34,Summary!$A$5:$A$14,0))</f>
        <v/>
      </c>
      <c r="D34" s="5" t="inlineStr">
        <is>
          <t>DI registration &amp; appsettings</t>
        </is>
      </c>
      <c r="E34" s="5" t="inlineStr">
        <is>
          <t>Register LRN.Snapshots services, BlobContainerClient via DefaultAzureCredential, options.</t>
        </is>
      </c>
      <c r="F34" s="5" t="inlineStr">
        <is>
          <t>LRN.MasterFileProcessorWorker</t>
        </is>
      </c>
      <c r="G34" s="5" t="inlineStr">
        <is>
          <t>Program.cs + appsettings</t>
        </is>
      </c>
      <c r="H34" s="5" t="inlineStr">
        <is>
          <t>P3-02</t>
        </is>
      </c>
      <c r="I34" s="13" t="n">
        <v>0.5</v>
      </c>
      <c r="J34" s="5" t="inlineStr">
        <is>
          <t>18</t>
        </is>
      </c>
      <c r="K34" s="14" t="n"/>
      <c r="L34" s="15" t="n"/>
      <c r="M34" s="15" t="n"/>
      <c r="N34" s="14" t="inlineStr">
        <is>
          <t>Not Started</t>
        </is>
      </c>
      <c r="O34" s="14" t="n"/>
    </row>
    <row r="35">
      <c r="A35" s="5" t="inlineStr">
        <is>
          <t>P4-01</t>
        </is>
      </c>
      <c r="B35" s="5" t="inlineStr">
        <is>
          <t>P4</t>
        </is>
      </c>
      <c r="C35" s="5">
        <f>INDEX(Summary!$B$5:$B$14,MATCH(B35,Summary!$A$5:$A$14,0))</f>
        <v/>
      </c>
      <c r="D35" s="5" t="inlineStr">
        <is>
          <t>IReportDataSource abstraction</t>
        </is>
      </c>
      <c r="E35" s="5" t="inlineStr">
        <is>
          <t>ReadAsync&lt;T&gt;(ReportQuery, map), CountAsync(ReportQuery), IsSnapshot, SnapshotLabel.</t>
        </is>
      </c>
      <c r="F35" s="5" t="inlineStr">
        <is>
          <t>LabMetricsDashboard</t>
        </is>
      </c>
      <c r="G35" s="5" t="inlineStr">
        <is>
          <t>Interface</t>
        </is>
      </c>
      <c r="H35" s="5" t="inlineStr">
        <is>
          <t>P2-09</t>
        </is>
      </c>
      <c r="I35" s="13" t="n">
        <v>0.5</v>
      </c>
      <c r="J35" s="5" t="inlineStr">
        <is>
          <t>14</t>
        </is>
      </c>
      <c r="K35" s="14" t="n"/>
      <c r="L35" s="15" t="n"/>
      <c r="M35" s="15" t="n"/>
      <c r="N35" s="14" t="inlineStr">
        <is>
          <t>Not Started</t>
        </is>
      </c>
      <c r="O35" s="14" t="n"/>
    </row>
    <row r="36">
      <c r="A36" s="5" t="inlineStr">
        <is>
          <t>P4-02</t>
        </is>
      </c>
      <c r="B36" s="5" t="inlineStr">
        <is>
          <t>P4</t>
        </is>
      </c>
      <c r="C36" s="5">
        <f>INDEX(Summary!$B$5:$B$14,MATCH(B36,Summary!$A$5:$A$14,0))</f>
        <v/>
      </c>
      <c r="D36" s="5" t="inlineStr">
        <is>
          <t>SqlReportDataSource (live)</t>
        </is>
      </c>
      <c r="E36" s="5" t="inlineStr">
        <is>
          <t>Wraps existing SP calls (SqlDataReader passed as DbDataReader) for the live path.</t>
        </is>
      </c>
      <c r="F36" s="5" t="inlineStr">
        <is>
          <t>LabMetricsDashboard</t>
        </is>
      </c>
      <c r="G36" s="5" t="inlineStr">
        <is>
          <t>Implementation</t>
        </is>
      </c>
      <c r="H36" s="5" t="inlineStr">
        <is>
          <t>P4-01</t>
        </is>
      </c>
      <c r="I36" s="13" t="n">
        <v>1</v>
      </c>
      <c r="J36" s="5" t="inlineStr">
        <is>
          <t>14-15</t>
        </is>
      </c>
      <c r="K36" s="14" t="n"/>
      <c r="L36" s="15" t="n"/>
      <c r="M36" s="15" t="n"/>
      <c r="N36" s="14" t="inlineStr">
        <is>
          <t>Not Started</t>
        </is>
      </c>
      <c r="O36" s="14" t="n"/>
    </row>
    <row r="37">
      <c r="A37" s="5" t="inlineStr">
        <is>
          <t>P4-03</t>
        </is>
      </c>
      <c r="B37" s="5" t="inlineStr">
        <is>
          <t>P4</t>
        </is>
      </c>
      <c r="C37" s="5">
        <f>INDEX(Summary!$B$5:$B$14,MATCH(B37,Summary!$A$5:$A$14,0))</f>
        <v/>
      </c>
      <c r="D37" s="5" t="inlineStr">
        <is>
          <t>ParquetReportDataSource (snapshot)</t>
        </is>
      </c>
      <c r="E37" s="5" t="inlineStr">
        <is>
          <t>Resolve file via index (LabId check) -&gt; cache -&gt; ParquetReportReader. Label 'Week_41 (as of 12-Oct-2026)'.</t>
        </is>
      </c>
      <c r="F37" s="5" t="inlineStr">
        <is>
          <t>LabMetricsDashboard</t>
        </is>
      </c>
      <c r="G37" s="5" t="inlineStr">
        <is>
          <t>Implementation</t>
        </is>
      </c>
      <c r="H37" s="5" t="inlineStr">
        <is>
          <t>P4-01, P2-08, P2-09</t>
        </is>
      </c>
      <c r="I37" s="13" t="n">
        <v>1</v>
      </c>
      <c r="J37" s="5" t="inlineStr">
        <is>
          <t>11, 15-16</t>
        </is>
      </c>
      <c r="K37" s="14" t="n"/>
      <c r="L37" s="15" t="n"/>
      <c r="M37" s="15" t="n"/>
      <c r="N37" s="14" t="inlineStr">
        <is>
          <t>Not Started</t>
        </is>
      </c>
      <c r="O37" s="14" t="n"/>
    </row>
    <row r="38">
      <c r="A38" s="5" t="inlineStr">
        <is>
          <t>P4-04</t>
        </is>
      </c>
      <c r="B38" s="5" t="inlineStr">
        <is>
          <t>P4</t>
        </is>
      </c>
      <c r="C38" s="5">
        <f>INDEX(Summary!$B$5:$B$14,MATCH(B38,Summary!$A$5:$A$14,0))</f>
        <v/>
      </c>
      <c r="D38" s="5" t="inlineStr">
        <is>
          <t>Data source factory &amp; snapshot catalog</t>
        </is>
      </c>
      <c r="E38" s="5" t="inlineStr">
        <is>
          <t>_live.Create(connString) / _snapshots.Create(labId, snapshotRunId); _catalog.ListAsync(labId, reportCode) using usp_ReportSnapshot_List.</t>
        </is>
      </c>
      <c r="F38" s="5" t="inlineStr">
        <is>
          <t>LabMetricsDashboard</t>
        </is>
      </c>
      <c r="G38" s="5" t="inlineStr">
        <is>
          <t>Factory + catalog service</t>
        </is>
      </c>
      <c r="H38" s="5" t="inlineStr">
        <is>
          <t>P4-02, P4-03</t>
        </is>
      </c>
      <c r="I38" s="13" t="n">
        <v>0.5</v>
      </c>
      <c r="J38" s="5" t="inlineStr">
        <is>
          <t>15-17</t>
        </is>
      </c>
      <c r="K38" s="14" t="n"/>
      <c r="L38" s="15" t="n"/>
      <c r="M38" s="15" t="n"/>
      <c r="N38" s="14" t="inlineStr">
        <is>
          <t>Not Started</t>
        </is>
      </c>
      <c r="O38" s="14" t="n"/>
    </row>
    <row r="39">
      <c r="A39" s="5" t="inlineStr">
        <is>
          <t>P4-05</t>
        </is>
      </c>
      <c r="B39" s="5" t="inlineStr">
        <is>
          <t>P4</t>
        </is>
      </c>
      <c r="C39" s="5">
        <f>INDEX(Summary!$B$5:$B$14,MATCH(B39,Summary!$A$5:$A$14,0))</f>
        <v/>
      </c>
      <c r="D39" s="5" t="inlineStr">
        <is>
          <t>Lab isolation &amp; 404 handling</t>
        </is>
      </c>
      <c r="E39" s="5" t="inlineStr">
        <is>
          <t>Snapshot id belonging to another lab (or missing) returns 404.</t>
        </is>
      </c>
      <c r="F39" s="5" t="inlineStr">
        <is>
          <t>LabMetricsDashboard</t>
        </is>
      </c>
      <c r="G39" s="5" t="inlineStr">
        <is>
          <t>Guard + tests</t>
        </is>
      </c>
      <c r="H39" s="5" t="inlineStr">
        <is>
          <t>P4-03</t>
        </is>
      </c>
      <c r="I39" s="13" t="n">
        <v>0.5</v>
      </c>
      <c r="J39" s="5" t="inlineStr">
        <is>
          <t>11, 19</t>
        </is>
      </c>
      <c r="K39" s="14" t="n"/>
      <c r="L39" s="15" t="n"/>
      <c r="M39" s="15" t="n"/>
      <c r="N39" s="14" t="inlineStr">
        <is>
          <t>Not Started</t>
        </is>
      </c>
      <c r="O39" s="14" t="n"/>
    </row>
    <row r="40">
      <c r="A40" s="5" t="inlineStr">
        <is>
          <t>P4-06</t>
        </is>
      </c>
      <c r="B40" s="5" t="inlineStr">
        <is>
          <t>P4</t>
        </is>
      </c>
      <c r="C40" s="5">
        <f>INDEX(Summary!$B$5:$B$14,MATCH(B40,Summary!$A$5:$A$14,0))</f>
        <v/>
      </c>
      <c r="D40" s="5" t="inlineStr">
        <is>
          <t>Cache purge hosted service</t>
        </is>
      </c>
      <c r="E40" s="5" t="inlineStr">
        <is>
          <t>Daily BackgroundService calling SnapshotFileCache.Purge(7 days).</t>
        </is>
      </c>
      <c r="F40" s="5" t="inlineStr">
        <is>
          <t>LabMetricsDashboard</t>
        </is>
      </c>
      <c r="G40" s="5" t="inlineStr">
        <is>
          <t>Hosted service</t>
        </is>
      </c>
      <c r="H40" s="5" t="inlineStr">
        <is>
          <t>P2-08</t>
        </is>
      </c>
      <c r="I40" s="13" t="n">
        <v>0.5</v>
      </c>
      <c r="J40" s="5" t="inlineStr">
        <is>
          <t>12, 19</t>
        </is>
      </c>
      <c r="K40" s="14" t="n"/>
      <c r="L40" s="15" t="n"/>
      <c r="M40" s="15" t="n"/>
      <c r="N40" s="14" t="inlineStr">
        <is>
          <t>Not Started</t>
        </is>
      </c>
      <c r="O40" s="14" t="n"/>
    </row>
    <row r="41">
      <c r="A41" s="5" t="inlineStr">
        <is>
          <t>P4-07</t>
        </is>
      </c>
      <c r="B41" s="5" t="inlineStr">
        <is>
          <t>P4</t>
        </is>
      </c>
      <c r="C41" s="5">
        <f>INDEX(Summary!$B$5:$B$14,MATCH(B41,Summary!$A$5:$A$14,0))</f>
        <v/>
      </c>
      <c r="D41" s="5" t="inlineStr">
        <is>
          <t>DI &amp; appsettings for web app</t>
        </is>
      </c>
      <c r="E41" s="5" t="inlineStr">
        <is>
          <t>Register LRN.Snapshots read services, reader-role BlobContainerClient, cacheRoot.</t>
        </is>
      </c>
      <c r="F41" s="5" t="inlineStr">
        <is>
          <t>LabMetricsDashboard</t>
        </is>
      </c>
      <c r="G41" s="5" t="inlineStr">
        <is>
          <t>Program.cs + appsettings</t>
        </is>
      </c>
      <c r="H41" s="5" t="inlineStr">
        <is>
          <t>P4-04</t>
        </is>
      </c>
      <c r="I41" s="13" t="n">
        <v>0.5</v>
      </c>
      <c r="J41" s="5" t="inlineStr">
        <is>
          <t>18</t>
        </is>
      </c>
      <c r="K41" s="14" t="n"/>
      <c r="L41" s="15" t="n"/>
      <c r="M41" s="15" t="n"/>
      <c r="N41" s="14" t="inlineStr">
        <is>
          <t>Not Started</t>
        </is>
      </c>
      <c r="O41" s="14" t="n"/>
    </row>
    <row r="42">
      <c r="A42" s="5" t="inlineStr">
        <is>
          <t>P5-01</t>
        </is>
      </c>
      <c r="B42" s="5" t="inlineStr">
        <is>
          <t>P5</t>
        </is>
      </c>
      <c r="C42" s="5">
        <f>INDEX(Summary!$B$5:$B$14,MATCH(B42,Summary!$A$5:$A$14,0))</f>
        <v/>
      </c>
      <c r="D42" s="5" t="inlineStr">
        <is>
          <t>Refactor pilot mappers to DbDataReader</t>
        </is>
      </c>
      <c r="E42" s="5" t="inlineStr">
        <is>
          <t>Change pilot mappers' parameter to DbDataReader; read numbers with Convert.*; tolerate missing columns (HasColumn).</t>
        </is>
      </c>
      <c r="F42" s="5" t="inlineStr">
        <is>
          <t>LabMetricsDashboard</t>
        </is>
      </c>
      <c r="G42" s="5" t="inlineStr">
        <is>
          <t>Mappers (pilot reports)</t>
        </is>
      </c>
      <c r="H42" s="5" t="inlineStr">
        <is>
          <t>P4-01</t>
        </is>
      </c>
      <c r="I42" s="13" t="n">
        <v>1.5</v>
      </c>
      <c r="J42" s="5" t="inlineStr">
        <is>
          <t>14, 19</t>
        </is>
      </c>
      <c r="K42" s="14" t="n"/>
      <c r="L42" s="15" t="n"/>
      <c r="M42" s="15" t="n"/>
      <c r="N42" s="14" t="inlineStr">
        <is>
          <t>Not Started</t>
        </is>
      </c>
      <c r="O42" s="14" t="n"/>
    </row>
    <row r="43">
      <c r="A43" s="5" t="inlineStr">
        <is>
          <t>P5-02</t>
        </is>
      </c>
      <c r="B43" s="5" t="inlineStr">
        <is>
          <t>P5</t>
        </is>
      </c>
      <c r="C43" s="5">
        <f>INDEX(Summary!$B$5:$B$14,MATCH(B43,Summary!$A$5:$A$14,0))</f>
        <v/>
      </c>
      <c r="D43" s="5" t="inlineStr">
        <is>
          <t>Filter parity for pilot reports</t>
        </is>
      </c>
      <c r="E43" s="5" t="inlineStr">
        <is>
          <t>Mirror each pilot SP's filters (date ranges, IN-lists) in the Parquet WHERE builder.</t>
        </is>
      </c>
      <c r="F43" s="5" t="inlineStr">
        <is>
          <t>LabMetricsDashboard</t>
        </is>
      </c>
      <c r="G43" s="5" t="inlineStr">
        <is>
          <t>Per-report filter mapping</t>
        </is>
      </c>
      <c r="H43" s="5" t="inlineStr">
        <is>
          <t>P2-10, P5-01</t>
        </is>
      </c>
      <c r="I43" s="13" t="n">
        <v>2</v>
      </c>
      <c r="J43" s="5" t="inlineStr">
        <is>
          <t>14</t>
        </is>
      </c>
      <c r="K43" s="14" t="n"/>
      <c r="L43" s="15" t="n"/>
      <c r="M43" s="15" t="n"/>
      <c r="N43" s="14" t="inlineStr">
        <is>
          <t>Not Started</t>
        </is>
      </c>
      <c r="O43" s="14" t="n"/>
    </row>
    <row r="44">
      <c r="A44" s="5" t="inlineStr">
        <is>
          <t>P5-03</t>
        </is>
      </c>
      <c r="B44" s="5" t="inlineStr">
        <is>
          <t>P5</t>
        </is>
      </c>
      <c r="C44" s="5">
        <f>INDEX(Summary!$B$5:$B$14,MATCH(B44,Summary!$A$5:$A$14,0))</f>
        <v/>
      </c>
      <c r="D44" s="5" t="inlineStr">
        <is>
          <t>Controller changes for pilot reports</t>
        </is>
      </c>
      <c r="E44" s="5" t="inlineStr">
        <is>
          <t>Add snapshot param; choose source by snapshot null/not-null; populate IsSnapshot, SnapshotLabel, SelectedSnapshotRunId, Snapshots.</t>
        </is>
      </c>
      <c r="F44" s="5" t="inlineStr">
        <is>
          <t>LabMetricsDashboard</t>
        </is>
      </c>
      <c r="G44" s="5" t="inlineStr">
        <is>
          <t>Controllers</t>
        </is>
      </c>
      <c r="H44" s="5" t="inlineStr">
        <is>
          <t>P4-04, P5-01</t>
        </is>
      </c>
      <c r="I44" s="13" t="n">
        <v>1.5</v>
      </c>
      <c r="J44" s="5" t="inlineStr">
        <is>
          <t>15-16</t>
        </is>
      </c>
      <c r="K44" s="14" t="n"/>
      <c r="L44" s="15" t="n"/>
      <c r="M44" s="15" t="n"/>
      <c r="N44" s="14" t="inlineStr">
        <is>
          <t>Not Started</t>
        </is>
      </c>
      <c r="O44" s="14" t="n"/>
    </row>
    <row r="45">
      <c r="A45" s="5" t="inlineStr">
        <is>
          <t>P5-04</t>
        </is>
      </c>
      <c r="B45" s="5" t="inlineStr">
        <is>
          <t>P5</t>
        </is>
      </c>
      <c r="C45" s="5">
        <f>INDEX(Summary!$B$5:$B$14,MATCH(B45,Summary!$A$5:$A$14,0))</f>
        <v/>
      </c>
      <c r="D45" s="5" t="inlineStr">
        <is>
          <t>ISnapshotAwareViewModel</t>
        </is>
      </c>
      <c r="E45" s="5" t="inlineStr">
        <is>
          <t>Common interface for LabKey, IsSnapshot, SnapshotLabel, SelectedSnapshotRunId, Snapshots; implement on pilot view models.</t>
        </is>
      </c>
      <c r="F45" s="5" t="inlineStr">
        <is>
          <t>LabMetricsDashboard</t>
        </is>
      </c>
      <c r="G45" s="5" t="inlineStr">
        <is>
          <t>Interface + VMs</t>
        </is>
      </c>
      <c r="H45" s="5" t="inlineStr">
        <is>
          <t>P5-03</t>
        </is>
      </c>
      <c r="I45" s="13" t="n">
        <v>0.5</v>
      </c>
      <c r="J45" s="5" t="inlineStr">
        <is>
          <t>16</t>
        </is>
      </c>
      <c r="K45" s="14" t="n"/>
      <c r="L45" s="15" t="n"/>
      <c r="M45" s="15" t="n"/>
      <c r="N45" s="14" t="inlineStr">
        <is>
          <t>Not Started</t>
        </is>
      </c>
      <c r="O45" s="14" t="n"/>
    </row>
    <row r="46">
      <c r="A46" s="5" t="inlineStr">
        <is>
          <t>P5-05</t>
        </is>
      </c>
      <c r="B46" s="5" t="inlineStr">
        <is>
          <t>P5</t>
        </is>
      </c>
      <c r="C46" s="5">
        <f>INDEX(Summary!$B$5:$B$14,MATCH(B46,Summary!$A$5:$A$14,0))</f>
        <v/>
      </c>
      <c r="D46" s="5" t="inlineStr">
        <is>
          <t>_SnapshotSelector partial &amp; banner</t>
        </is>
      </c>
      <c r="E46" s="5" t="inlineStr">
        <is>
          <t>'Data as of' dropdown (Current (live) + snapshots), read-only warning banner with 'Back to current'. Optionally drop current week from list.</t>
        </is>
      </c>
      <c r="F46" s="5" t="inlineStr">
        <is>
          <t>LabMetricsDashboard</t>
        </is>
      </c>
      <c r="G46" s="5" t="inlineStr">
        <is>
          <t>_SnapshotSelector.cshtml</t>
        </is>
      </c>
      <c r="H46" s="5" t="inlineStr">
        <is>
          <t>P5-04</t>
        </is>
      </c>
      <c r="I46" s="13" t="n">
        <v>1</v>
      </c>
      <c r="J46" s="5" t="inlineStr">
        <is>
          <t>16-17</t>
        </is>
      </c>
      <c r="K46" s="14" t="n"/>
      <c r="L46" s="15" t="n"/>
      <c r="M46" s="15" t="n"/>
      <c r="N46" s="14" t="inlineStr">
        <is>
          <t>Not Started</t>
        </is>
      </c>
      <c r="O46" s="14" t="n"/>
    </row>
    <row r="47">
      <c r="A47" s="5" t="inlineStr">
        <is>
          <t>P5-06</t>
        </is>
      </c>
      <c r="B47" s="5" t="inlineStr">
        <is>
          <t>P5</t>
        </is>
      </c>
      <c r="C47" s="5">
        <f>INDEX(Summary!$B$5:$B$14,MATCH(B47,Summary!$A$5:$A$14,0))</f>
        <v/>
      </c>
      <c r="D47" s="5" t="inlineStr">
        <is>
          <t>Disable write actions in snapshot mode</t>
        </is>
      </c>
      <c r="E47" s="5" t="inlineStr">
        <is>
          <t>Hide/disable assign, status change, notes when IsSnapshot.</t>
        </is>
      </c>
      <c r="F47" s="5" t="inlineStr">
        <is>
          <t>LabMetricsDashboard</t>
        </is>
      </c>
      <c r="G47" s="5" t="inlineStr">
        <is>
          <t>View changes</t>
        </is>
      </c>
      <c r="H47" s="5" t="inlineStr">
        <is>
          <t>P5-05</t>
        </is>
      </c>
      <c r="I47" s="13" t="n">
        <v>0.5</v>
      </c>
      <c r="J47" s="5" t="inlineStr">
        <is>
          <t>17</t>
        </is>
      </c>
      <c r="K47" s="14" t="n"/>
      <c r="L47" s="15" t="n"/>
      <c r="M47" s="15" t="n"/>
      <c r="N47" s="14" t="inlineStr">
        <is>
          <t>Not Started</t>
        </is>
      </c>
      <c r="O47" s="14" t="n"/>
    </row>
    <row r="48">
      <c r="A48" s="5" t="inlineStr">
        <is>
          <t>P5-07</t>
        </is>
      </c>
      <c r="B48" s="5" t="inlineStr">
        <is>
          <t>P5</t>
        </is>
      </c>
      <c r="C48" s="5">
        <f>INDEX(Summary!$B$5:$B$14,MATCH(B48,Summary!$A$5:$A$14,0))</f>
        <v/>
      </c>
      <c r="D48" s="5" t="inlineStr">
        <is>
          <t>Paging/sorting &amp; DataTables server-side</t>
        </is>
      </c>
      <c r="E48" s="5" t="inlineStr">
        <is>
          <t>Confirm server-side paging/sorting re-queries the Parquet file; pager totals from CountAsync.</t>
        </is>
      </c>
      <c r="F48" s="5" t="inlineStr">
        <is>
          <t>LabMetricsDashboard</t>
        </is>
      </c>
      <c r="G48" s="5" t="inlineStr">
        <is>
          <t>Verified grids</t>
        </is>
      </c>
      <c r="H48" s="5" t="inlineStr">
        <is>
          <t>P5-03</t>
        </is>
      </c>
      <c r="I48" s="13" t="n">
        <v>0.5</v>
      </c>
      <c r="J48" s="5" t="inlineStr">
        <is>
          <t>17</t>
        </is>
      </c>
      <c r="K48" s="14" t="n"/>
      <c r="L48" s="15" t="n"/>
      <c r="M48" s="15" t="n"/>
      <c r="N48" s="14" t="inlineStr">
        <is>
          <t>Not Started</t>
        </is>
      </c>
      <c r="O48" s="14" t="n"/>
    </row>
    <row r="49">
      <c r="A49" s="5" t="inlineStr">
        <is>
          <t>P5-08</t>
        </is>
      </c>
      <c r="B49" s="5" t="inlineStr">
        <is>
          <t>P5</t>
        </is>
      </c>
      <c r="C49" s="5">
        <f>INDEX(Summary!$B$5:$B$14,MATCH(B49,Summary!$A$5:$A$14,0))</f>
        <v/>
      </c>
      <c r="D49" s="5" t="inlineStr">
        <is>
          <t>Excel/PDF export snapshot label</t>
        </is>
      </c>
      <c r="E49" s="5" t="inlineStr">
        <is>
          <t>Exports use same VM; add snapshot label to export header.</t>
        </is>
      </c>
      <c r="F49" s="5" t="inlineStr">
        <is>
          <t>LabMetricsDashboard</t>
        </is>
      </c>
      <c r="G49" s="5" t="inlineStr">
        <is>
          <t>Export changes</t>
        </is>
      </c>
      <c r="H49" s="5" t="inlineStr">
        <is>
          <t>P5-03</t>
        </is>
      </c>
      <c r="I49" s="13" t="n">
        <v>0.5</v>
      </c>
      <c r="J49" s="5" t="inlineStr">
        <is>
          <t>17</t>
        </is>
      </c>
      <c r="K49" s="14" t="n"/>
      <c r="L49" s="15" t="n"/>
      <c r="M49" s="15" t="n"/>
      <c r="N49" s="14" t="inlineStr">
        <is>
          <t>Not Started</t>
        </is>
      </c>
      <c r="O49" s="14" t="n"/>
    </row>
    <row r="50">
      <c r="A50" s="5" t="inlineStr">
        <is>
          <t>P6-01</t>
        </is>
      </c>
      <c r="B50" s="5" t="inlineStr">
        <is>
          <t>P6</t>
        </is>
      </c>
      <c r="C50" s="5">
        <f>INDEX(Summary!$B$5:$B$14,MATCH(B50,Summary!$A$5:$A$14,0))</f>
        <v/>
      </c>
      <c r="D50" s="5" t="inlineStr">
        <is>
          <t>Worker integration test (pilot lab)</t>
        </is>
      </c>
      <c r="E50" s="5" t="inlineStr">
        <is>
          <t>Pilot lab snapshot creates one Success run and one file row per result set; file rows = SP rows = DuckDB COUNT(*).</t>
        </is>
      </c>
      <c r="F50" s="5" t="inlineStr">
        <is>
          <t>tests</t>
        </is>
      </c>
      <c r="G50" s="5" t="inlineStr">
        <is>
          <t>Integration test</t>
        </is>
      </c>
      <c r="H50" s="5" t="inlineStr">
        <is>
          <t>P3-03</t>
        </is>
      </c>
      <c r="I50" s="13" t="n">
        <v>1</v>
      </c>
      <c r="J50" s="5" t="inlineStr">
        <is>
          <t>19</t>
        </is>
      </c>
      <c r="K50" s="14" t="n"/>
      <c r="L50" s="15" t="n"/>
      <c r="M50" s="15" t="n"/>
      <c r="N50" s="14" t="inlineStr">
        <is>
          <t>Not Started</t>
        </is>
      </c>
      <c r="O50" s="14" t="n"/>
    </row>
    <row r="51">
      <c r="A51" s="5" t="inlineStr">
        <is>
          <t>P6-02</t>
        </is>
      </c>
      <c r="B51" s="5" t="inlineStr">
        <is>
          <t>P6</t>
        </is>
      </c>
      <c r="C51" s="5">
        <f>INDEX(Summary!$B$5:$B$14,MATCH(B51,Summary!$A$5:$A$14,0))</f>
        <v/>
      </c>
      <c r="D51" s="5" t="inlineStr">
        <is>
          <t>Live vs snapshot parity test</t>
        </is>
      </c>
      <c r="E51" s="5" t="inlineStr">
        <is>
          <t>Snapshot of current week matches live report: totals, first page, sorted page.</t>
        </is>
      </c>
      <c r="F51" s="5" t="inlineStr">
        <is>
          <t>tests</t>
        </is>
      </c>
      <c r="G51" s="5" t="inlineStr">
        <is>
          <t>Parity test</t>
        </is>
      </c>
      <c r="H51" s="5" t="inlineStr">
        <is>
          <t>P5-03</t>
        </is>
      </c>
      <c r="I51" s="13" t="n">
        <v>1</v>
      </c>
      <c r="J51" s="5" t="inlineStr">
        <is>
          <t>19</t>
        </is>
      </c>
      <c r="K51" s="14" t="n"/>
      <c r="L51" s="15" t="n"/>
      <c r="M51" s="15" t="n"/>
      <c r="N51" s="14" t="inlineStr">
        <is>
          <t>Not Started</t>
        </is>
      </c>
      <c r="O51" s="14" t="n"/>
    </row>
    <row r="52">
      <c r="A52" s="5" t="inlineStr">
        <is>
          <t>P6-03</t>
        </is>
      </c>
      <c r="B52" s="5" t="inlineStr">
        <is>
          <t>P6</t>
        </is>
      </c>
      <c r="C52" s="5">
        <f>INDEX(Summary!$B$5:$B$14,MATCH(B52,Summary!$A$5:$A$14,0))</f>
        <v/>
      </c>
      <c r="D52" s="5" t="inlineStr">
        <is>
          <t>Data fidelity tests</t>
        </is>
      </c>
      <c r="E52" s="5" t="inlineStr">
        <is>
          <t>Decimals keep precision/scale; dates and NULLs correct.</t>
        </is>
      </c>
      <c r="F52" s="5" t="inlineStr">
        <is>
          <t>tests</t>
        </is>
      </c>
      <c r="G52" s="5" t="inlineStr">
        <is>
          <t>Tests</t>
        </is>
      </c>
      <c r="H52" s="5" t="inlineStr">
        <is>
          <t>P2-11</t>
        </is>
      </c>
      <c r="I52" s="13" t="n">
        <v>0.5</v>
      </c>
      <c r="J52" s="5" t="inlineStr">
        <is>
          <t>19</t>
        </is>
      </c>
      <c r="K52" s="14" t="n"/>
      <c r="L52" s="15" t="n"/>
      <c r="M52" s="15" t="n"/>
      <c r="N52" s="14" t="inlineStr">
        <is>
          <t>Not Started</t>
        </is>
      </c>
      <c r="O52" s="14" t="n"/>
    </row>
    <row r="53">
      <c r="A53" s="5" t="inlineStr">
        <is>
          <t>P6-04</t>
        </is>
      </c>
      <c r="B53" s="5" t="inlineStr">
        <is>
          <t>P6</t>
        </is>
      </c>
      <c r="C53" s="5">
        <f>INDEX(Summary!$B$5:$B$14,MATCH(B53,Summary!$A$5:$A$14,0))</f>
        <v/>
      </c>
      <c r="D53" s="5" t="inlineStr">
        <is>
          <t>Resilience &amp; idempotency tests</t>
        </is>
      </c>
      <c r="E53" s="5" t="inlineStr">
        <is>
          <t>Same RunId re-run gives no duplicate rows; blocking storage fails snapshot but not weekly load.</t>
        </is>
      </c>
      <c r="F53" s="5" t="inlineStr">
        <is>
          <t>tests</t>
        </is>
      </c>
      <c r="G53" s="5" t="inlineStr">
        <is>
          <t>Tests</t>
        </is>
      </c>
      <c r="H53" s="5" t="inlineStr">
        <is>
          <t>P3-04, P3-05</t>
        </is>
      </c>
      <c r="I53" s="13" t="n">
        <v>1</v>
      </c>
      <c r="J53" s="5" t="inlineStr">
        <is>
          <t>19</t>
        </is>
      </c>
      <c r="K53" s="14" t="n"/>
      <c r="L53" s="15" t="n"/>
      <c r="M53" s="15" t="n"/>
      <c r="N53" s="14" t="inlineStr">
        <is>
          <t>Not Started</t>
        </is>
      </c>
      <c r="O53" s="14" t="n"/>
    </row>
    <row r="54">
      <c r="A54" s="5" t="inlineStr">
        <is>
          <t>P6-05</t>
        </is>
      </c>
      <c r="B54" s="5" t="inlineStr">
        <is>
          <t>P6</t>
        </is>
      </c>
      <c r="C54" s="5">
        <f>INDEX(Summary!$B$5:$B$14,MATCH(B54,Summary!$A$5:$A$14,0))</f>
        <v/>
      </c>
      <c r="D54" s="5" t="inlineStr">
        <is>
          <t>Retention test</t>
        </is>
      </c>
      <c r="E54" s="5" t="inlineStr">
        <is>
          <t>After 7 weekly runs only retained runs and their blobs remain.</t>
        </is>
      </c>
      <c r="F54" s="5" t="inlineStr">
        <is>
          <t>tests</t>
        </is>
      </c>
      <c r="G54" s="5" t="inlineStr">
        <is>
          <t>Test</t>
        </is>
      </c>
      <c r="H54" s="5" t="inlineStr">
        <is>
          <t>P3-06</t>
        </is>
      </c>
      <c r="I54" s="13" t="n">
        <v>0.5</v>
      </c>
      <c r="J54" s="5" t="inlineStr">
        <is>
          <t>19</t>
        </is>
      </c>
      <c r="K54" s="14" t="n"/>
      <c r="L54" s="15" t="n"/>
      <c r="M54" s="15" t="n"/>
      <c r="N54" s="14" t="inlineStr">
        <is>
          <t>Not Started</t>
        </is>
      </c>
      <c r="O54" s="14" t="n"/>
    </row>
    <row r="55">
      <c r="A55" s="5" t="inlineStr">
        <is>
          <t>P6-06</t>
        </is>
      </c>
      <c r="B55" s="5" t="inlineStr">
        <is>
          <t>P6</t>
        </is>
      </c>
      <c r="C55" s="5">
        <f>INDEX(Summary!$B$5:$B$14,MATCH(B55,Summary!$A$5:$A$14,0))</f>
        <v/>
      </c>
      <c r="D55" s="5" t="inlineStr">
        <is>
          <t>Security tests</t>
        </is>
      </c>
      <c r="E55" s="5" t="inlineStr">
        <is>
          <t>Other lab's snapshot id -&gt; 404; unknown filter/sort column ignored; values parameterised.</t>
        </is>
      </c>
      <c r="F55" s="5" t="inlineStr">
        <is>
          <t>tests</t>
        </is>
      </c>
      <c r="G55" s="5" t="inlineStr">
        <is>
          <t>Tests</t>
        </is>
      </c>
      <c r="H55" s="5" t="inlineStr">
        <is>
          <t>P4-05, P2-09</t>
        </is>
      </c>
      <c r="I55" s="13" t="n">
        <v>0.5</v>
      </c>
      <c r="J55" s="5" t="inlineStr">
        <is>
          <t>19</t>
        </is>
      </c>
      <c r="K55" s="14" t="n"/>
      <c r="L55" s="15" t="n"/>
      <c r="M55" s="15" t="n"/>
      <c r="N55" s="14" t="inlineStr">
        <is>
          <t>Not Started</t>
        </is>
      </c>
      <c r="O55" s="14" t="n"/>
    </row>
    <row r="56">
      <c r="A56" s="5" t="inlineStr">
        <is>
          <t>P6-07</t>
        </is>
      </c>
      <c r="B56" s="5" t="inlineStr">
        <is>
          <t>P6</t>
        </is>
      </c>
      <c r="C56" s="5">
        <f>INDEX(Summary!$B$5:$B$14,MATCH(B56,Summary!$A$5:$A$14,0))</f>
        <v/>
      </c>
      <c r="D56" s="5" t="inlineStr">
        <is>
          <t>Cache test</t>
        </is>
      </c>
      <c r="E56" s="5" t="inlineStr">
        <is>
          <t>Second open of a snapshot is served from cache (no blob download).</t>
        </is>
      </c>
      <c r="F56" s="5" t="inlineStr">
        <is>
          <t>tests</t>
        </is>
      </c>
      <c r="G56" s="5" t="inlineStr">
        <is>
          <t>Test</t>
        </is>
      </c>
      <c r="H56" s="5" t="inlineStr">
        <is>
          <t>P4-03</t>
        </is>
      </c>
      <c r="I56" s="13" t="n">
        <v>0.25</v>
      </c>
      <c r="J56" s="5" t="inlineStr">
        <is>
          <t>19</t>
        </is>
      </c>
      <c r="K56" s="14" t="n"/>
      <c r="L56" s="15" t="n"/>
      <c r="M56" s="15" t="n"/>
      <c r="N56" s="14" t="inlineStr">
        <is>
          <t>Not Started</t>
        </is>
      </c>
      <c r="O56" s="14" t="n"/>
    </row>
    <row r="57">
      <c r="A57" s="5" t="inlineStr">
        <is>
          <t>P7-01</t>
        </is>
      </c>
      <c r="B57" s="5" t="inlineStr">
        <is>
          <t>P7</t>
        </is>
      </c>
      <c r="C57" s="5">
        <f>INDEX(Summary!$B$5:$B$14,MATCH(B57,Summary!$A$5:$A$14,0))</f>
        <v/>
      </c>
      <c r="D57" s="5" t="inlineStr">
        <is>
          <t>Deploy DB + Azure + library to production</t>
        </is>
      </c>
      <c r="E57" s="5" t="inlineStr">
        <is>
          <t>Run LRNMaster scripts, provision container/roles/network/lifecycle, deploy worker and web app with snapshots disabled except pilot lab.</t>
        </is>
      </c>
      <c r="F57" s="5" t="inlineStr">
        <is>
          <t>Release</t>
        </is>
      </c>
      <c r="G57" s="5" t="inlineStr">
        <is>
          <t>Production deployment</t>
        </is>
      </c>
      <c r="H57" s="5" t="inlineStr">
        <is>
          <t>P6-01..P6-07</t>
        </is>
      </c>
      <c r="I57" s="13" t="n">
        <v>1</v>
      </c>
      <c r="J57" s="5" t="inlineStr">
        <is>
          <t>19</t>
        </is>
      </c>
      <c r="K57" s="14" t="n"/>
      <c r="L57" s="15" t="n"/>
      <c r="M57" s="15" t="n"/>
      <c r="N57" s="14" t="inlineStr">
        <is>
          <t>Not Started</t>
        </is>
      </c>
      <c r="O57" s="14" t="n"/>
    </row>
    <row r="58">
      <c r="A58" s="5" t="inlineStr">
        <is>
          <t>P7-02</t>
        </is>
      </c>
      <c r="B58" s="5" t="inlineStr">
        <is>
          <t>P7</t>
        </is>
      </c>
      <c r="C58" s="5">
        <f>INDEX(Summary!$B$5:$B$14,MATCH(B58,Summary!$A$5:$A$14,0))</f>
        <v/>
      </c>
      <c r="D58" s="5" t="inlineStr">
        <is>
          <t>Enable writer for pilot lab (2-3 reports)</t>
        </is>
      </c>
      <c r="E58" s="5" t="inlineStr">
        <is>
          <t>Turn on for one pilot lab; watch first weekly runs, file sizes, run time.</t>
        </is>
      </c>
      <c r="F58" s="5" t="inlineStr">
        <is>
          <t>Release</t>
        </is>
      </c>
      <c r="G58" s="5" t="inlineStr">
        <is>
          <t>Pilot running</t>
        </is>
      </c>
      <c r="H58" s="5" t="inlineStr">
        <is>
          <t>P7-01</t>
        </is>
      </c>
      <c r="I58" s="13" t="n">
        <v>0.5</v>
      </c>
      <c r="J58" s="5" t="inlineStr">
        <is>
          <t>19</t>
        </is>
      </c>
      <c r="K58" s="14" t="n"/>
      <c r="L58" s="15" t="n"/>
      <c r="M58" s="15" t="n"/>
      <c r="N58" s="14" t="inlineStr">
        <is>
          <t>Not Started</t>
        </is>
      </c>
      <c r="O58" s="14" t="n"/>
    </row>
    <row r="59">
      <c r="A59" s="5" t="inlineStr">
        <is>
          <t>P7-03</t>
        </is>
      </c>
      <c r="B59" s="5" t="inlineStr">
        <is>
          <t>P7</t>
        </is>
      </c>
      <c r="C59" s="5">
        <f>INDEX(Summary!$B$5:$B$14,MATCH(B59,Summary!$A$5:$A$14,0))</f>
        <v/>
      </c>
      <c r="D59" s="5" t="inlineStr">
        <is>
          <t>Client UAT on real past weeks</t>
        </is>
      </c>
      <c r="E59" s="5" t="inlineStr">
        <is>
          <t>Users compare snapshots against what they saw; collect defects.</t>
        </is>
      </c>
      <c r="F59" s="5" t="inlineStr">
        <is>
          <t>UAT</t>
        </is>
      </c>
      <c r="G59" s="5" t="inlineStr">
        <is>
          <t>UAT sign-off</t>
        </is>
      </c>
      <c r="H59" s="5" t="inlineStr">
        <is>
          <t>P7-02</t>
        </is>
      </c>
      <c r="I59" s="13" t="n">
        <v>3</v>
      </c>
      <c r="J59" s="5" t="inlineStr">
        <is>
          <t>19</t>
        </is>
      </c>
      <c r="K59" s="14" t="n"/>
      <c r="L59" s="15" t="n"/>
      <c r="M59" s="15" t="n"/>
      <c r="N59" s="14" t="inlineStr">
        <is>
          <t>Not Started</t>
        </is>
      </c>
      <c r="O59" s="14" t="n"/>
    </row>
    <row r="60">
      <c r="A60" s="5" t="inlineStr">
        <is>
          <t>P7-04</t>
        </is>
      </c>
      <c r="B60" s="5" t="inlineStr">
        <is>
          <t>P7</t>
        </is>
      </c>
      <c r="C60" s="5">
        <f>INDEX(Summary!$B$5:$B$14,MATCH(B60,Summary!$A$5:$A$14,0))</f>
        <v/>
      </c>
      <c r="D60" s="5" t="inlineStr">
        <is>
          <t>Fix UAT defects</t>
        </is>
      </c>
      <c r="E60" s="5" t="inlineStr">
        <is>
          <t>Resolve issues raised in UAT.</t>
        </is>
      </c>
      <c r="F60" s="5" t="inlineStr">
        <is>
          <t>Dev</t>
        </is>
      </c>
      <c r="G60" s="5" t="inlineStr">
        <is>
          <t>Fixes</t>
        </is>
      </c>
      <c r="H60" s="5" t="inlineStr">
        <is>
          <t>P7-03</t>
        </is>
      </c>
      <c r="I60" s="13" t="n">
        <v>2</v>
      </c>
      <c r="J60" s="5" t="inlineStr"/>
      <c r="K60" s="14" t="n"/>
      <c r="L60" s="15" t="n"/>
      <c r="M60" s="15" t="n"/>
      <c r="N60" s="14" t="inlineStr">
        <is>
          <t>Not Started</t>
        </is>
      </c>
      <c r="O60" s="14" t="n"/>
    </row>
    <row r="61">
      <c r="A61" s="5" t="inlineStr">
        <is>
          <t>P8-01</t>
        </is>
      </c>
      <c r="B61" s="5" t="inlineStr">
        <is>
          <t>P8</t>
        </is>
      </c>
      <c r="C61" s="5">
        <f>INDEX(Summary!$B$5:$B$14,MATCH(B61,Summary!$A$5:$A$14,0))</f>
        <v/>
      </c>
      <c r="D61" s="5" t="inlineStr">
        <is>
          <t>Remaining Denial reports</t>
        </is>
      </c>
      <c r="E61" s="5" t="inlineStr">
        <is>
          <t>Denial claim report and other denial result sets: mappers, filter parity, selector.</t>
        </is>
      </c>
      <c r="F61" s="5" t="inlineStr">
        <is>
          <t>LabMetricsDashboard</t>
        </is>
      </c>
      <c r="G61" s="5" t="inlineStr">
        <is>
          <t>Reports migrated</t>
        </is>
      </c>
      <c r="H61" s="5" t="inlineStr">
        <is>
          <t>P7-03</t>
        </is>
      </c>
      <c r="I61" s="13" t="n">
        <v>2</v>
      </c>
      <c r="J61" s="5" t="inlineStr">
        <is>
          <t>19</t>
        </is>
      </c>
      <c r="K61" s="14" t="n"/>
      <c r="L61" s="15" t="n"/>
      <c r="M61" s="15" t="n"/>
      <c r="N61" s="14" t="inlineStr">
        <is>
          <t>Not Started</t>
        </is>
      </c>
      <c r="O61" s="14" t="n"/>
    </row>
    <row r="62">
      <c r="A62" s="5" t="inlineStr">
        <is>
          <t>P8-02</t>
        </is>
      </c>
      <c r="B62" s="5" t="inlineStr">
        <is>
          <t>P8</t>
        </is>
      </c>
      <c r="C62" s="5">
        <f>INDEX(Summary!$B$5:$B$14,MATCH(B62,Summary!$A$5:$A$14,0))</f>
        <v/>
      </c>
      <c r="D62" s="5" t="inlineStr">
        <is>
          <t>Claim Line &amp; LIS reports</t>
        </is>
      </c>
      <c r="E62" s="5" t="inlineStr">
        <is>
          <t>Mappers, filter parity, selector; check large-grid performance.</t>
        </is>
      </c>
      <c r="F62" s="5" t="inlineStr">
        <is>
          <t>LabMetricsDashboard</t>
        </is>
      </c>
      <c r="G62" s="5" t="inlineStr">
        <is>
          <t>Reports migrated</t>
        </is>
      </c>
      <c r="H62" s="5" t="inlineStr">
        <is>
          <t>P7-03</t>
        </is>
      </c>
      <c r="I62" s="13" t="n">
        <v>2.5</v>
      </c>
      <c r="J62" s="5" t="inlineStr">
        <is>
          <t>19</t>
        </is>
      </c>
      <c r="K62" s="14" t="n"/>
      <c r="L62" s="15" t="n"/>
      <c r="M62" s="15" t="n"/>
      <c r="N62" s="14" t="inlineStr">
        <is>
          <t>Not Started</t>
        </is>
      </c>
      <c r="O62" s="14" t="n"/>
    </row>
    <row r="63">
      <c r="A63" s="5" t="inlineStr">
        <is>
          <t>P8-03</t>
        </is>
      </c>
      <c r="B63" s="5" t="inlineStr">
        <is>
          <t>P8</t>
        </is>
      </c>
      <c r="C63" s="5">
        <f>INDEX(Summary!$B$5:$B$14,MATCH(B63,Summary!$A$5:$A$14,0))</f>
        <v/>
      </c>
      <c r="D63" s="5" t="inlineStr">
        <is>
          <t>Collection, Clinic &amp; Sales Rep summaries</t>
        </is>
      </c>
      <c r="E63" s="5" t="inlineStr">
        <is>
          <t>Mappers, filter parity, selector.</t>
        </is>
      </c>
      <c r="F63" s="5" t="inlineStr">
        <is>
          <t>LabMetricsDashboard</t>
        </is>
      </c>
      <c r="G63" s="5" t="inlineStr">
        <is>
          <t>Reports migrated</t>
        </is>
      </c>
      <c r="H63" s="5" t="inlineStr">
        <is>
          <t>P7-03</t>
        </is>
      </c>
      <c r="I63" s="13" t="n">
        <v>2.5</v>
      </c>
      <c r="J63" s="5" t="inlineStr">
        <is>
          <t>19</t>
        </is>
      </c>
      <c r="K63" s="14" t="n"/>
      <c r="L63" s="15" t="n"/>
      <c r="M63" s="15" t="n"/>
      <c r="N63" s="14" t="inlineStr">
        <is>
          <t>Not Started</t>
        </is>
      </c>
      <c r="O63" s="14" t="n"/>
    </row>
    <row r="64">
      <c r="A64" s="5" t="inlineStr">
        <is>
          <t>P8-04</t>
        </is>
      </c>
      <c r="B64" s="5" t="inlineStr">
        <is>
          <t>P8</t>
        </is>
      </c>
      <c r="C64" s="5">
        <f>INDEX(Summary!$B$5:$B$14,MATCH(B64,Summary!$A$5:$A$14,0))</f>
        <v/>
      </c>
      <c r="D64" s="5" t="inlineStr">
        <is>
          <t>Production summaries &amp; Exec summary</t>
        </is>
      </c>
      <c r="E64" s="5" t="inlineStr">
        <is>
          <t>Lab / Augustus / NorthWest production summaries, PHI executive summary.</t>
        </is>
      </c>
      <c r="F64" s="5" t="inlineStr">
        <is>
          <t>LabMetricsDashboard</t>
        </is>
      </c>
      <c r="G64" s="5" t="inlineStr">
        <is>
          <t>Reports migrated</t>
        </is>
      </c>
      <c r="H64" s="5" t="inlineStr">
        <is>
          <t>P7-03</t>
        </is>
      </c>
      <c r="I64" s="13" t="n">
        <v>2.5</v>
      </c>
      <c r="J64" s="5" t="inlineStr">
        <is>
          <t>19</t>
        </is>
      </c>
      <c r="K64" s="14" t="n"/>
      <c r="L64" s="15" t="n"/>
      <c r="M64" s="15" t="n"/>
      <c r="N64" s="14" t="inlineStr">
        <is>
          <t>Not Started</t>
        </is>
      </c>
      <c r="O64" s="14" t="n"/>
    </row>
    <row r="65">
      <c r="A65" s="5" t="inlineStr">
        <is>
          <t>P8-05</t>
        </is>
      </c>
      <c r="B65" s="5" t="inlineStr">
        <is>
          <t>P8</t>
        </is>
      </c>
      <c r="C65" s="5">
        <f>INDEX(Summary!$B$5:$B$14,MATCH(B65,Summary!$A$5:$A$14,0))</f>
        <v/>
      </c>
      <c r="D65" s="5" t="inlineStr">
        <is>
          <t>Coding validation &amp; other standard reports</t>
        </is>
      </c>
      <c r="E65" s="5" t="inlineStr">
        <is>
          <t>Any remaining reports in the P0 inventory.</t>
        </is>
      </c>
      <c r="F65" s="5" t="inlineStr">
        <is>
          <t>LabMetricsDashboard</t>
        </is>
      </c>
      <c r="G65" s="5" t="inlineStr">
        <is>
          <t>Reports migrated</t>
        </is>
      </c>
      <c r="H65" s="5" t="inlineStr">
        <is>
          <t>P7-03</t>
        </is>
      </c>
      <c r="I65" s="13" t="n">
        <v>2</v>
      </c>
      <c r="J65" s="5" t="inlineStr">
        <is>
          <t>19</t>
        </is>
      </c>
      <c r="K65" s="14" t="n"/>
      <c r="L65" s="15" t="n"/>
      <c r="M65" s="15" t="n"/>
      <c r="N65" s="14" t="inlineStr">
        <is>
          <t>Not Started</t>
        </is>
      </c>
      <c r="O65" s="14" t="n"/>
    </row>
    <row r="66">
      <c r="A66" s="5" t="inlineStr">
        <is>
          <t>P8-06</t>
        </is>
      </c>
      <c r="B66" s="5" t="inlineStr">
        <is>
          <t>P8</t>
        </is>
      </c>
      <c r="C66" s="5">
        <f>INDEX(Summary!$B$5:$B$14,MATCH(B66,Summary!$A$5:$A$14,0))</f>
        <v/>
      </c>
      <c r="D66" s="5" t="inlineStr">
        <is>
          <t>Enable all labs</t>
        </is>
      </c>
      <c r="E66" s="5" t="inlineStr">
        <is>
          <t>Turn on snapshots for all labs; monitor file sizes, snapshot run time, cache size.</t>
        </is>
      </c>
      <c r="F66" s="5" t="inlineStr">
        <is>
          <t>Release</t>
        </is>
      </c>
      <c r="G66" s="5" t="inlineStr">
        <is>
          <t>All labs live</t>
        </is>
      </c>
      <c r="H66" s="5" t="inlineStr">
        <is>
          <t>P8-01..P8-05</t>
        </is>
      </c>
      <c r="I66" s="13" t="n">
        <v>1</v>
      </c>
      <c r="J66" s="5" t="inlineStr">
        <is>
          <t>20</t>
        </is>
      </c>
      <c r="K66" s="14" t="n"/>
      <c r="L66" s="15" t="n"/>
      <c r="M66" s="15" t="n"/>
      <c r="N66" s="14" t="inlineStr">
        <is>
          <t>Not Started</t>
        </is>
      </c>
      <c r="O66" s="14" t="n"/>
    </row>
    <row r="67">
      <c r="A67" s="5" t="inlineStr">
        <is>
          <t>P9-01</t>
        </is>
      </c>
      <c r="B67" s="5" t="inlineStr">
        <is>
          <t>P9</t>
        </is>
      </c>
      <c r="C67" s="5">
        <f>INDEX(Summary!$B$5:$B$14,MATCH(B67,Summary!$A$5:$A$14,0))</f>
        <v/>
      </c>
      <c r="D67" s="5" t="inlineStr">
        <is>
          <t>Backfill last weeks (optional)</t>
        </is>
      </c>
      <c r="E67" s="5" t="inlineStr">
        <is>
          <t>Reprocess last few week folders into a scratch DB and snapshot from it, if source files still exist, so 5 weeks show on day one.</t>
        </is>
      </c>
      <c r="F67" s="5" t="inlineStr">
        <is>
          <t>LRN.MasterFileProcessorWorker</t>
        </is>
      </c>
      <c r="G67" s="5" t="inlineStr">
        <is>
          <t>Backfilled snapshots</t>
        </is>
      </c>
      <c r="H67" s="5" t="inlineStr">
        <is>
          <t>P8-06</t>
        </is>
      </c>
      <c r="I67" s="13" t="n">
        <v>2</v>
      </c>
      <c r="J67" s="5" t="inlineStr">
        <is>
          <t>20</t>
        </is>
      </c>
      <c r="K67" s="14" t="n"/>
      <c r="L67" s="15" t="n"/>
      <c r="M67" s="15" t="n"/>
      <c r="N67" s="14" t="inlineStr">
        <is>
          <t>Not Started</t>
        </is>
      </c>
      <c r="O67" s="14" t="n"/>
    </row>
    <row r="68">
      <c r="A68" s="5" t="inlineStr">
        <is>
          <t>P9-02</t>
        </is>
      </c>
      <c r="B68" s="5" t="inlineStr">
        <is>
          <t>P9</t>
        </is>
      </c>
      <c r="C68" s="5">
        <f>INDEX(Summary!$B$5:$B$14,MATCH(B68,Summary!$A$5:$A$14,0))</f>
        <v/>
      </c>
      <c r="D68" s="5" t="inlineStr">
        <is>
          <t>Monitoring &amp; alerts</t>
        </is>
      </c>
      <c r="E68" s="5" t="inlineStr">
        <is>
          <t>Alert on Failed snapshot runs, missing weekly snapshot, cache size growth.</t>
        </is>
      </c>
      <c r="F68" s="5" t="inlineStr">
        <is>
          <t>Ops</t>
        </is>
      </c>
      <c r="G68" s="5" t="inlineStr">
        <is>
          <t>Alerts / dashboard</t>
        </is>
      </c>
      <c r="H68" s="5" t="inlineStr">
        <is>
          <t>P8-06</t>
        </is>
      </c>
      <c r="I68" s="13" t="n">
        <v>1</v>
      </c>
      <c r="J68" s="5" t="inlineStr">
        <is>
          <t>20</t>
        </is>
      </c>
      <c r="K68" s="14" t="n"/>
      <c r="L68" s="15" t="n"/>
      <c r="M68" s="15" t="n"/>
      <c r="N68" s="14" t="inlineStr">
        <is>
          <t>Not Started</t>
        </is>
      </c>
      <c r="O68" s="14" t="n"/>
    </row>
    <row r="69">
      <c r="A69" s="5" t="inlineStr">
        <is>
          <t>P9-03</t>
        </is>
      </c>
      <c r="B69" s="5" t="inlineStr">
        <is>
          <t>P9</t>
        </is>
      </c>
      <c r="C69" s="5">
        <f>INDEX(Summary!$B$5:$B$14,MATCH(B69,Summary!$A$5:$A$14,0))</f>
        <v/>
      </c>
      <c r="D69" s="5" t="inlineStr">
        <is>
          <t>Developer guide</t>
        </is>
      </c>
      <c r="E69" s="5" t="inlineStr">
        <is>
          <t>How to download from Blob (Storage Explorer) and inspect with DuckDB CLI, VS Code viewer, pandas, Power BI; schema-versioning rules.</t>
        </is>
      </c>
      <c r="F69" s="5" t="inlineStr">
        <is>
          <t>docs</t>
        </is>
      </c>
      <c r="G69" s="5" t="inlineStr">
        <is>
          <t>Dev guide</t>
        </is>
      </c>
      <c r="H69" s="5" t="inlineStr">
        <is>
          <t>P8-06</t>
        </is>
      </c>
      <c r="I69" s="13" t="n">
        <v>0.5</v>
      </c>
      <c r="J69" s="5" t="inlineStr">
        <is>
          <t>17-19</t>
        </is>
      </c>
      <c r="K69" s="14" t="n"/>
      <c r="L69" s="15" t="n"/>
      <c r="M69" s="15" t="n"/>
      <c r="N69" s="14" t="inlineStr">
        <is>
          <t>Not Started</t>
        </is>
      </c>
      <c r="O69" s="14" t="n"/>
    </row>
    <row r="70">
      <c r="A70" s="5" t="inlineStr">
        <is>
          <t>P9-04</t>
        </is>
      </c>
      <c r="B70" s="5" t="inlineStr">
        <is>
          <t>P9</t>
        </is>
      </c>
      <c r="C70" s="5">
        <f>INDEX(Summary!$B$5:$B$14,MATCH(B70,Summary!$A$5:$A$14,0))</f>
        <v/>
      </c>
      <c r="D70" s="5" t="inlineStr">
        <is>
          <t>Schema-version process</t>
        </is>
      </c>
      <c r="E70" s="5" t="inlineStr">
        <is>
          <t>Document: bump SchemaVersion when columns change, never rewrite old snapshots, version-specific mappers when needed.</t>
        </is>
      </c>
      <c r="F70" s="5" t="inlineStr">
        <is>
          <t>docs</t>
        </is>
      </c>
      <c r="G70" s="5" t="inlineStr">
        <is>
          <t>Process note</t>
        </is>
      </c>
      <c r="H70" s="5" t="inlineStr">
        <is>
          <t>P8-06</t>
        </is>
      </c>
      <c r="I70" s="13" t="n">
        <v>0.25</v>
      </c>
      <c r="J70" s="5" t="inlineStr">
        <is>
          <t>19</t>
        </is>
      </c>
      <c r="K70" s="14" t="n"/>
      <c r="L70" s="15" t="n"/>
      <c r="M70" s="15" t="n"/>
      <c r="N70" s="14" t="inlineStr">
        <is>
          <t>Not Started</t>
        </is>
      </c>
      <c r="O70" s="14" t="n"/>
    </row>
  </sheetData>
  <autoFilter ref="A1:O70"/>
  <conditionalFormatting sqref="A2:O70">
    <cfRule type="expression" priority="1" dxfId="0">
      <formula>$N2="Done"</formula>
    </cfRule>
    <cfRule type="expression" priority="2" dxfId="1">
      <formula>$N2="Blocked"</formula>
    </cfRule>
    <cfRule type="expression" priority="3" dxfId="2">
      <formula>$N2="In Progress"</formula>
    </cfRule>
  </conditionalFormatting>
  <dataValidations count="1">
    <dataValidation sqref="N2:N7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5" customWidth="1" min="3" max="3"/>
    <col width="14" customWidth="1" min="4" max="4"/>
    <col width="16" customWidth="1" min="5" max="5"/>
    <col width="12" customWidth="1" min="6" max="6"/>
    <col width="30" customWidth="1" min="7" max="7"/>
  </cols>
  <sheetData>
    <row r="1">
      <c r="A1" s="16" t="inlineStr">
        <is>
          <t>#</t>
        </is>
      </c>
      <c r="B1" s="16" t="inlineStr">
        <is>
          <t>Test (from design doc p.19)</t>
        </is>
      </c>
      <c r="C1" s="16" t="inlineStr">
        <is>
          <t>Covered by Task</t>
        </is>
      </c>
      <c r="D1" s="16" t="inlineStr">
        <is>
          <t>Result</t>
        </is>
      </c>
      <c r="E1" s="16" t="inlineStr">
        <is>
          <t>Tested By</t>
        </is>
      </c>
      <c r="F1" s="16" t="inlineStr">
        <is>
          <t>Date</t>
        </is>
      </c>
      <c r="G1" s="16" t="inlineStr">
        <is>
          <t>Notes</t>
        </is>
      </c>
    </row>
    <row r="2">
      <c r="A2" s="5" t="n">
        <v>1</v>
      </c>
      <c r="B2" s="5" t="inlineStr">
        <is>
          <t>Snapshot for a pilot lab creates one Success run and one file row per result set</t>
        </is>
      </c>
      <c r="C2" s="5" t="inlineStr">
        <is>
          <t>P6-01</t>
        </is>
      </c>
      <c r="D2" s="14" t="inlineStr">
        <is>
          <t>Not Run</t>
        </is>
      </c>
      <c r="E2" s="14" t="n"/>
      <c r="F2" s="15" t="n"/>
      <c r="G2" s="14" t="n"/>
    </row>
    <row r="3">
      <c r="A3" s="5" t="n">
        <v>2</v>
      </c>
      <c r="B3" s="5" t="inlineStr">
        <is>
          <t>File row count = SP row count = DuckDB COUNT(*)</t>
        </is>
      </c>
      <c r="C3" s="5" t="inlineStr">
        <is>
          <t>P6-01</t>
        </is>
      </c>
      <c r="D3" s="14" t="inlineStr">
        <is>
          <t>Not Run</t>
        </is>
      </c>
      <c r="E3" s="14" t="n"/>
      <c r="F3" s="15" t="n"/>
      <c r="G3" s="14" t="n"/>
    </row>
    <row r="4">
      <c r="A4" s="5" t="n">
        <v>3</v>
      </c>
      <c r="B4" s="5" t="inlineStr">
        <is>
          <t>Snapshot of the current week matches the live report (totals, first page, sorted page)</t>
        </is>
      </c>
      <c r="C4" s="5" t="inlineStr">
        <is>
          <t>P6-02</t>
        </is>
      </c>
      <c r="D4" s="14" t="inlineStr">
        <is>
          <t>Not Run</t>
        </is>
      </c>
      <c r="E4" s="14" t="n"/>
      <c r="F4" s="15" t="n"/>
      <c r="G4" s="14" t="n"/>
    </row>
    <row r="5">
      <c r="A5" s="5" t="n">
        <v>4</v>
      </c>
      <c r="B5" s="5" t="inlineStr">
        <is>
          <t>Decimals keep precision and scale; dates and NULLs are correct</t>
        </is>
      </c>
      <c r="C5" s="5" t="inlineStr">
        <is>
          <t>P6-03</t>
        </is>
      </c>
      <c r="D5" s="14" t="inlineStr">
        <is>
          <t>Not Run</t>
        </is>
      </c>
      <c r="E5" s="14" t="n"/>
      <c r="F5" s="15" t="n"/>
      <c r="G5" s="14" t="n"/>
    </row>
    <row r="6">
      <c r="A6" s="5" t="n">
        <v>5</v>
      </c>
      <c r="B6" s="5" t="inlineStr">
        <is>
          <t>Re-running the same RunId overwrites files with no duplicate index rows</t>
        </is>
      </c>
      <c r="C6" s="5" t="inlineStr">
        <is>
          <t>P6-04</t>
        </is>
      </c>
      <c r="D6" s="14" t="inlineStr">
        <is>
          <t>Not Run</t>
        </is>
      </c>
      <c r="E6" s="14" t="n"/>
      <c r="F6" s="15" t="n"/>
      <c r="G6" s="14" t="n"/>
    </row>
    <row r="7">
      <c r="A7" s="5" t="n">
        <v>6</v>
      </c>
      <c r="B7" s="5" t="inlineStr">
        <is>
          <t>Blocking storage access fails the snapshot but not the weekly load</t>
        </is>
      </c>
      <c r="C7" s="5" t="inlineStr">
        <is>
          <t>P6-04</t>
        </is>
      </c>
      <c r="D7" s="14" t="inlineStr">
        <is>
          <t>Not Run</t>
        </is>
      </c>
      <c r="E7" s="14" t="n"/>
      <c r="F7" s="15" t="n"/>
      <c r="G7" s="14" t="n"/>
    </row>
    <row r="8">
      <c r="A8" s="5" t="n">
        <v>7</v>
      </c>
      <c r="B8" s="5" t="inlineStr">
        <is>
          <t>After 7 weekly runs only the retained runs and their blobs remain</t>
        </is>
      </c>
      <c r="C8" s="5" t="inlineStr">
        <is>
          <t>P6-05</t>
        </is>
      </c>
      <c r="D8" s="14" t="inlineStr">
        <is>
          <t>Not Run</t>
        </is>
      </c>
      <c r="E8" s="14" t="n"/>
      <c r="F8" s="15" t="n"/>
      <c r="G8" s="14" t="n"/>
    </row>
    <row r="9">
      <c r="A9" s="5" t="n">
        <v>8</v>
      </c>
      <c r="B9" s="5" t="inlineStr">
        <is>
          <t>Another lab's snapshot id returns 404</t>
        </is>
      </c>
      <c r="C9" s="5" t="inlineStr">
        <is>
          <t>P6-06</t>
        </is>
      </c>
      <c r="D9" s="14" t="inlineStr">
        <is>
          <t>Not Run</t>
        </is>
      </c>
      <c r="E9" s="14" t="n"/>
      <c r="F9" s="15" t="n"/>
      <c r="G9" s="14" t="n"/>
    </row>
    <row r="10">
      <c r="A10" s="5" t="n">
        <v>9</v>
      </c>
      <c r="B10" s="5" t="inlineStr">
        <is>
          <t>Unknown filter or sort column is ignored; values are parameterised</t>
        </is>
      </c>
      <c r="C10" s="5" t="inlineStr">
        <is>
          <t>P6-06</t>
        </is>
      </c>
      <c r="D10" s="14" t="inlineStr">
        <is>
          <t>Not Run</t>
        </is>
      </c>
      <c r="E10" s="14" t="n"/>
      <c r="F10" s="15" t="n"/>
      <c r="G10" s="14" t="n"/>
    </row>
    <row r="11">
      <c r="A11" s="5" t="n">
        <v>10</v>
      </c>
      <c r="B11" s="5" t="inlineStr">
        <is>
          <t>Second open of a snapshot is served from the cache</t>
        </is>
      </c>
      <c r="C11" s="5" t="inlineStr">
        <is>
          <t>P6-07</t>
        </is>
      </c>
      <c r="D11" s="14" t="inlineStr">
        <is>
          <t>Not Run</t>
        </is>
      </c>
      <c r="E11" s="14" t="n"/>
      <c r="F11" s="15" t="n"/>
      <c r="G11" s="14" t="n"/>
    </row>
  </sheetData>
  <dataValidations count="1">
    <dataValidation sqref="D2:D11" showDropDown="0" showInputMessage="0" showErrorMessage="0" allowBlank="1" type="list">
      <formula1>"Not Run,Pass,Fail"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95" customWidth="1" min="3" max="3"/>
    <col width="40" customWidth="1" min="4" max="4"/>
  </cols>
  <sheetData>
    <row r="1">
      <c r="A1" s="16" t="inlineStr">
        <is>
          <t>#</t>
        </is>
      </c>
      <c r="B1" s="16" t="inlineStr">
        <is>
          <t>Type</t>
        </is>
      </c>
      <c r="C1" s="16" t="inlineStr">
        <is>
          <t>Item</t>
        </is>
      </c>
      <c r="D1" s="16" t="inlineStr">
        <is>
          <t>Answer / Decision</t>
        </is>
      </c>
    </row>
    <row r="2">
      <c r="A2" s="5" t="n">
        <v>1</v>
      </c>
      <c r="B2" s="5" t="inlineStr">
        <is>
          <t>Gap</t>
        </is>
      </c>
      <c r="C2" s="5" t="inlineStr">
        <is>
          <t>The doc says LRN.Snapshots is referenced by 'LRN.ReportEngine'; no such project exists in this repo. Plan assumes LRN.MasterFileProcessorWorker (writer) and LabMetricsDashboard (reader).</t>
        </is>
      </c>
      <c r="D2" s="14" t="n"/>
    </row>
    <row r="3">
      <c r="A3" s="5" t="n">
        <v>2</v>
      </c>
      <c r="B3" s="5" t="inlineStr">
        <is>
          <t>Gap</t>
        </is>
      </c>
      <c r="C3" s="5" t="inlineStr">
        <is>
          <t>The doc's ParquetReportReader supports only equality / IS NULL filters, but it also says live SP filters (date ranges, IN-lists) must be mirrored. Task P2-10 adds those filter types.</t>
        </is>
      </c>
      <c r="D3" s="14" t="n"/>
    </row>
    <row r="4">
      <c r="A4" s="5" t="n">
        <v>3</v>
      </c>
      <c r="B4" s="5" t="inlineStr">
        <is>
          <t>Assumption</t>
        </is>
      </c>
      <c r="C4" s="5" t="inlineStr">
        <is>
          <t>Pilot = one lab + 2-3 reports (Denial Summary is the doc's example). Pick the pilot lab and the other pilot reports in P0-01.</t>
        </is>
      </c>
      <c r="D4" s="14" t="n"/>
    </row>
    <row r="5">
      <c r="A5" s="5" t="n">
        <v>4</v>
      </c>
      <c r="B5" s="5" t="inlineStr">
        <is>
          <t>Assumption</t>
        </is>
      </c>
      <c r="C5" s="5" t="inlineStr">
        <is>
          <t>Est. Days are planning estimates for one developer and are not in the doc. Adjust them on 'Task Split'.</t>
        </is>
      </c>
      <c r="D5" s="14" t="n"/>
    </row>
    <row r="6">
      <c r="A6" s="5" t="n">
        <v>5</v>
      </c>
      <c r="B6" s="5" t="inlineStr">
        <is>
          <t>Assumption</t>
        </is>
      </c>
      <c r="C6" s="5" t="inlineStr">
        <is>
          <t>P8 report groups come from the existing Sql*Repository classes in LabMetricsDashboard/Services; confirm the final list against the P0-01 inventory.</t>
        </is>
      </c>
      <c r="D6" s="14" t="n"/>
    </row>
    <row r="7">
      <c r="A7" s="5" t="n">
        <v>6</v>
      </c>
      <c r="B7" s="5" t="inlineStr">
        <is>
          <t>Question</t>
        </is>
      </c>
      <c r="C7" s="5" t="inlineStr">
        <is>
          <t>Some SPs may apply user filters inside the SP. Do they need a 'full grain' parameter mode for snapshots? (P0-02)</t>
        </is>
      </c>
      <c r="D7" s="14" t="n"/>
    </row>
    <row r="8">
      <c r="A8" s="5" t="n">
        <v>7</v>
      </c>
      <c r="B8" s="5" t="inlineStr">
        <is>
          <t>Question</t>
        </is>
      </c>
      <c r="C8" s="5" t="inlineStr">
        <is>
          <t>Is backfill (P9-01) needed? It depends on whether past week source files are still available.</t>
        </is>
      </c>
      <c r="D8" s="14" t="n"/>
    </row>
    <row r="9">
      <c r="A9" s="5" t="n">
        <v>8</v>
      </c>
      <c r="B9" s="5" t="inlineStr">
        <is>
          <t>Question</t>
        </is>
      </c>
      <c r="C9" s="5" t="inlineStr">
        <is>
          <t>Is a customer-managed key required for compliance (P1-07)?</t>
        </is>
      </c>
      <c r="D9" s="14" t="n"/>
    </row>
    <row r="10">
      <c r="A10" s="5" t="n">
        <v>9</v>
      </c>
      <c r="B10" s="5" t="inlineStr">
        <is>
          <t>Out of scope</t>
        </is>
      </c>
      <c r="C10" s="5" t="inlineStr">
        <is>
          <t>Changes to the weekly ETL itself, and the raw-table archive (optional, same mechanism), per the doc.</t>
        </is>
      </c>
      <c r="D10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2026-10-20T07:26:33Z</dcterms:created>
  <dcterms:modified xmlns:dcterms="http://purl.org/dc/terms/" xmlns:xsi="http://www.w3.org/2001/XMLSchema-instance" xsi:type="dcterms:W3CDTF">2026-10-20T07:26:33Z</dcterms:modified>
</cp:coreProperties>
</file>