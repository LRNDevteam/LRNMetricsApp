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rndev2\source\repos\LRNDevteam\LRNMetricsApp\docs\ar-workbench\"/>
    </mc:Choice>
  </mc:AlternateContent>
  <xr:revisionPtr revIDLastSave="0" documentId="13_ncr:1_{EB69DA4B-B989-464A-83C8-B7284CC9BD50}" xr6:coauthVersionLast="47" xr6:coauthVersionMax="47" xr10:uidLastSave="{00000000-0000-0000-0000-000000000000}"/>
  <bookViews>
    <workbookView xWindow="-108" yWindow="-108" windowWidth="23256" windowHeight="12576" activeTab="2" xr2:uid="{00000000-000D-0000-FFFF-FFFF00000000}"/>
  </bookViews>
  <sheets>
    <sheet name="Queue Flow" sheetId="1" r:id="rId1"/>
    <sheet name="Clarifications" sheetId="2" r:id="rId2"/>
    <sheet name="Plan" sheetId="3" r:id="rId3"/>
    <sheet name="Plan - Corrected Order" sheetId="4" r:id="rId4"/>
    <sheet name="Statuses" sheetId="5" r:id="rId5"/>
  </sheets>
  <definedNames>
    <definedName name="_xlnm._FilterDatabase" localSheetId="2" hidden="1">Plan!$B$3:$L$85</definedName>
    <definedName name="_xlnm._FilterDatabase" localSheetId="3" hidden="1">'Plan - Corrected Order'!$B$5:$P$116</definedName>
  </definedNames>
  <calcPr calcId="181029"/>
</workbook>
</file>

<file path=xl/calcChain.xml><?xml version="1.0" encoding="utf-8"?>
<calcChain xmlns="http://schemas.openxmlformats.org/spreadsheetml/2006/main">
  <c r="F131" i="4" l="1"/>
  <c r="E131" i="4"/>
  <c r="D131" i="4"/>
  <c r="C131" i="4"/>
  <c r="F130" i="4"/>
  <c r="E130" i="4"/>
  <c r="D130" i="4"/>
  <c r="C130" i="4"/>
  <c r="F129" i="4"/>
  <c r="E129" i="4"/>
  <c r="D129" i="4"/>
  <c r="C129" i="4"/>
  <c r="F128" i="4"/>
  <c r="E128" i="4"/>
  <c r="D128" i="4"/>
  <c r="C128" i="4"/>
  <c r="F127" i="4"/>
  <c r="E127" i="4"/>
  <c r="D127" i="4"/>
  <c r="C127" i="4"/>
  <c r="F126" i="4"/>
  <c r="E126" i="4"/>
  <c r="D126" i="4"/>
  <c r="C126" i="4"/>
  <c r="F125" i="4"/>
  <c r="E125" i="4"/>
  <c r="D125" i="4"/>
  <c r="C125" i="4"/>
  <c r="K6" i="4"/>
  <c r="L6" i="4" s="1"/>
  <c r="I3" i="4"/>
  <c r="H2" i="3"/>
  <c r="G129" i="4" l="1"/>
  <c r="H129" i="4" s="1"/>
  <c r="G131" i="4"/>
  <c r="H131" i="4" s="1"/>
  <c r="G126" i="4"/>
  <c r="H126" i="4" s="1"/>
  <c r="G128" i="4"/>
  <c r="H128" i="4" s="1"/>
  <c r="G130" i="4"/>
  <c r="H130" i="4" s="1"/>
  <c r="G125" i="4"/>
  <c r="H125" i="4" s="1"/>
  <c r="G127" i="4"/>
  <c r="H127" i="4" s="1"/>
  <c r="K7" i="4"/>
  <c r="K8" i="4" l="1"/>
  <c r="L8" i="4" s="1"/>
  <c r="K9" i="4" s="1"/>
  <c r="L7" i="4"/>
  <c r="L9" i="4" l="1"/>
  <c r="K10" i="4"/>
  <c r="L10" i="4" s="1"/>
  <c r="K11" i="4" s="1"/>
  <c r="K12" i="4" l="1"/>
  <c r="L11" i="4"/>
  <c r="K13" i="4" l="1"/>
  <c r="L12" i="4"/>
  <c r="L13" i="4" l="1"/>
  <c r="K14" i="4"/>
  <c r="L14" i="4" l="1"/>
  <c r="K15" i="4"/>
  <c r="K16" i="4" l="1"/>
  <c r="L15" i="4"/>
  <c r="K17" i="4" l="1"/>
  <c r="L16" i="4"/>
  <c r="L17" i="4" l="1"/>
  <c r="K18" i="4"/>
  <c r="K19" i="4" l="1"/>
  <c r="L18" i="4"/>
  <c r="K20" i="4" l="1"/>
  <c r="L20" i="4" s="1"/>
  <c r="K21" i="4" s="1"/>
  <c r="L21" i="4" s="1"/>
  <c r="K22" i="4" s="1"/>
  <c r="L22" i="4" s="1"/>
  <c r="K23" i="4" s="1"/>
  <c r="L19" i="4"/>
  <c r="K24" i="4" l="1"/>
  <c r="L23" i="4"/>
  <c r="K25" i="4" l="1"/>
  <c r="L24" i="4"/>
  <c r="K26" i="4" l="1"/>
  <c r="L25" i="4"/>
  <c r="K27" i="4" l="1"/>
  <c r="L26" i="4"/>
  <c r="K28" i="4" l="1"/>
  <c r="L27" i="4"/>
  <c r="K29" i="4" l="1"/>
  <c r="L28" i="4"/>
  <c r="L29" i="4" l="1"/>
  <c r="K30" i="4"/>
  <c r="K31" i="4" l="1"/>
  <c r="L31" i="4" s="1"/>
  <c r="K32" i="4" s="1"/>
  <c r="L30" i="4"/>
  <c r="L32" i="4" l="1"/>
  <c r="K33" i="4"/>
  <c r="L33" i="4" l="1"/>
  <c r="K34" i="4"/>
  <c r="L34" i="4" s="1"/>
  <c r="K35" i="4" s="1"/>
  <c r="K36" i="4" l="1"/>
  <c r="L36" i="4" s="1"/>
  <c r="K37" i="4" s="1"/>
  <c r="L37" i="4" s="1"/>
  <c r="K38" i="4" s="1"/>
  <c r="L38" i="4" s="1"/>
  <c r="K39" i="4" s="1"/>
  <c r="L35" i="4"/>
  <c r="K40" i="4" l="1"/>
  <c r="L40" i="4" s="1"/>
  <c r="K41" i="4" s="1"/>
  <c r="L39" i="4"/>
  <c r="L41" i="4" l="1"/>
  <c r="K42" i="4"/>
  <c r="L42" i="4" l="1"/>
  <c r="K43" i="4"/>
  <c r="K44" i="4" l="1"/>
  <c r="L43" i="4"/>
  <c r="K45" i="4" l="1"/>
  <c r="L44" i="4"/>
  <c r="L45" i="4" l="1"/>
  <c r="K46" i="4"/>
  <c r="K47" i="4" l="1"/>
  <c r="L46" i="4"/>
  <c r="K48" i="4" l="1"/>
  <c r="L48" i="4" s="1"/>
  <c r="K49" i="4" s="1"/>
  <c r="L49" i="4" s="1"/>
  <c r="K50" i="4" s="1"/>
  <c r="L47" i="4"/>
  <c r="L50" i="4" l="1"/>
  <c r="K51" i="4"/>
  <c r="L51" i="4" s="1"/>
  <c r="K52" i="4" s="1"/>
  <c r="L52" i="4" s="1"/>
  <c r="K53" i="4" s="1"/>
  <c r="L53" i="4" l="1"/>
  <c r="K54" i="4"/>
  <c r="L54" i="4" l="1"/>
  <c r="K55" i="4"/>
  <c r="K56" i="4" l="1"/>
  <c r="L55" i="4"/>
  <c r="K57" i="4" l="1"/>
  <c r="L57" i="4" s="1"/>
  <c r="K58" i="4" s="1"/>
  <c r="L56" i="4"/>
  <c r="K59" i="4" l="1"/>
  <c r="L59" i="4" s="1"/>
  <c r="K60" i="4" s="1"/>
  <c r="L58" i="4"/>
  <c r="K61" i="4" l="1"/>
  <c r="L60" i="4"/>
  <c r="L61" i="4" l="1"/>
  <c r="K62" i="4"/>
  <c r="L62" i="4" l="1"/>
  <c r="K63" i="4"/>
  <c r="L63" i="4" s="1"/>
  <c r="K64" i="4" s="1"/>
  <c r="K65" i="4" l="1"/>
  <c r="L65" i="4" s="1"/>
  <c r="K66" i="4" s="1"/>
  <c r="L64" i="4"/>
  <c r="K67" i="4" l="1"/>
  <c r="L66" i="4"/>
  <c r="K68" i="4" l="1"/>
  <c r="L68" i="4" s="1"/>
  <c r="K69" i="4" s="1"/>
  <c r="L67" i="4"/>
  <c r="L69" i="4" l="1"/>
  <c r="K70" i="4"/>
  <c r="L70" i="4" l="1"/>
  <c r="K71" i="4"/>
  <c r="L71" i="4" s="1"/>
  <c r="K72" i="4" s="1"/>
  <c r="L72" i="4" s="1"/>
  <c r="K73" i="4" s="1"/>
  <c r="L73" i="4" s="1"/>
  <c r="K74" i="4" s="1"/>
  <c r="K75" i="4" l="1"/>
  <c r="L75" i="4" s="1"/>
  <c r="K76" i="4" s="1"/>
  <c r="L74" i="4"/>
  <c r="K77" i="4" l="1"/>
  <c r="L77" i="4" s="1"/>
  <c r="K78" i="4" s="1"/>
  <c r="L76" i="4"/>
  <c r="K79" i="4" l="1"/>
  <c r="L78" i="4"/>
  <c r="K80" i="4" l="1"/>
  <c r="L80" i="4" s="1"/>
  <c r="K81" i="4" s="1"/>
  <c r="L79" i="4"/>
  <c r="L81" i="4" l="1"/>
  <c r="K82" i="4"/>
  <c r="L82" i="4" l="1"/>
  <c r="K83" i="4"/>
  <c r="K84" i="4" l="1"/>
  <c r="L83" i="4"/>
  <c r="K85" i="4" l="1"/>
  <c r="L84" i="4"/>
  <c r="L85" i="4" l="1"/>
  <c r="K115" i="4"/>
  <c r="L115" i="4" s="1"/>
  <c r="K116" i="4" s="1"/>
  <c r="L116" i="4" s="1"/>
  <c r="K86" i="4"/>
  <c r="K87" i="4" l="1"/>
  <c r="L86" i="4"/>
  <c r="K88" i="4" l="1"/>
  <c r="L87" i="4"/>
  <c r="K89" i="4" l="1"/>
  <c r="L88" i="4"/>
  <c r="L89" i="4" l="1"/>
  <c r="K90" i="4"/>
  <c r="K91" i="4" l="1"/>
  <c r="L90" i="4"/>
  <c r="K92" i="4" l="1"/>
  <c r="L91" i="4"/>
  <c r="K93" i="4" l="1"/>
  <c r="L92" i="4"/>
  <c r="L93" i="4" l="1"/>
  <c r="K94" i="4"/>
  <c r="K95" i="4" l="1"/>
  <c r="L94" i="4"/>
  <c r="K96" i="4" l="1"/>
  <c r="L95" i="4"/>
  <c r="K97" i="4" l="1"/>
  <c r="L96" i="4"/>
  <c r="L97" i="4" l="1"/>
  <c r="K98" i="4"/>
  <c r="K99" i="4" l="1"/>
  <c r="L98" i="4"/>
  <c r="K100" i="4" l="1"/>
  <c r="L99" i="4"/>
  <c r="K101" i="4" l="1"/>
  <c r="L100" i="4"/>
  <c r="L101" i="4" l="1"/>
  <c r="K102" i="4"/>
  <c r="L102" i="4" l="1"/>
  <c r="K103" i="4"/>
  <c r="L103" i="4" l="1"/>
  <c r="K104" i="4"/>
  <c r="L104" i="4" l="1"/>
  <c r="K105" i="4"/>
  <c r="L105" i="4" l="1"/>
  <c r="K106" i="4"/>
  <c r="L106" i="4" l="1"/>
  <c r="K107" i="4"/>
  <c r="L107" i="4" l="1"/>
  <c r="K108" i="4"/>
  <c r="L108" i="4" l="1"/>
  <c r="K109" i="4"/>
  <c r="L109" i="4" l="1"/>
  <c r="K110" i="4"/>
  <c r="L110" i="4" l="1"/>
  <c r="K111" i="4"/>
  <c r="L111" i="4" l="1"/>
  <c r="K112" i="4"/>
  <c r="L112" i="4" l="1"/>
  <c r="K113" i="4"/>
  <c r="L113" i="4" l="1"/>
  <c r="K114" i="4"/>
  <c r="L114" i="4" s="1"/>
  <c r="K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Plan</author>
  </authors>
  <commentList>
    <comment ref="E3" authorId="0" shapeId="0" xr:uid="{00000000-0006-0000-0300-000001000000}">
      <text>
        <r>
          <rPr>
            <sz val="11"/>
            <color theme="1"/>
            <rFont val="Aptos Narrow"/>
            <family val="2"/>
            <scheme val="minor"/>
          </rPr>
          <t>Input — the Plan sheet's original start (T001, 09/28/26). Change it and every date below moves.</t>
        </r>
      </text>
    </comment>
  </commentList>
</comments>
</file>

<file path=xl/sharedStrings.xml><?xml version="1.0" encoding="utf-8"?>
<sst xmlns="http://schemas.openxmlformats.org/spreadsheetml/2006/main" count="1618" uniqueCount="677">
  <si>
    <t>Module ID</t>
  </si>
  <si>
    <t>Task ID</t>
  </si>
  <si>
    <t>Module Name</t>
  </si>
  <si>
    <t>Phase</t>
  </si>
  <si>
    <t>Task / Deliverable</t>
  </si>
  <si>
    <t>Estimated No. of Days</t>
  </si>
  <si>
    <t>Module Classification</t>
  </si>
  <si>
    <t>Start Date</t>
  </si>
  <si>
    <t>End Date</t>
  </si>
  <si>
    <t>Remarks</t>
  </si>
  <si>
    <t>M01</t>
  </si>
  <si>
    <t>T001</t>
  </si>
  <si>
    <t>Decision &amp; Logics Workshop</t>
  </si>
  <si>
    <t>Get the open clarifiations answered by the team</t>
  </si>
  <si>
    <t>P0</t>
  </si>
  <si>
    <t>M02</t>
  </si>
  <si>
    <t>T002</t>
  </si>
  <si>
    <t>Data Processing &amp; Denial Analysis Report</t>
  </si>
  <si>
    <t>Create a AR Claim Level Data table</t>
  </si>
  <si>
    <t>P1</t>
  </si>
  <si>
    <t>T003</t>
  </si>
  <si>
    <t>Sync the AR claim level data from claim level data table 
Fully denied + Partially Denied + Patient Responsibility + No Response</t>
  </si>
  <si>
    <t>T004</t>
  </si>
  <si>
    <t>Claim details mapping
Header Details | Overview Details | CPT \ Line Level Details | Denial Details | DOS | $ Values | CPT Details</t>
  </si>
  <si>
    <t>T005</t>
  </si>
  <si>
    <t>Create a AR Denial Insights table</t>
  </si>
  <si>
    <t>T006</t>
  </si>
  <si>
    <t>Sync the denial insights from denial summary report to the AR Denial Insights table
Current Week + Previous Week</t>
  </si>
  <si>
    <t>T007</t>
  </si>
  <si>
    <t>Maintain the week stamp in the AR denial insights table</t>
  </si>
  <si>
    <t>T008</t>
  </si>
  <si>
    <t>Sync the latest denial insights when Run Data Processing is clicked</t>
  </si>
  <si>
    <t>T009</t>
  </si>
  <si>
    <t>Data Processing screen: refresh status, source period, record count, Run Data Processing (sync + reclassify job)</t>
  </si>
  <si>
    <t>T010</t>
  </si>
  <si>
    <t>Denial Analysis Report (reuse weekly Denial Insights) with drill-through to Work Queue for assignment</t>
  </si>
  <si>
    <t>T011</t>
  </si>
  <si>
    <t>Redirect the user to Denial &amp; AR Workqueue when "Route to Work Queue" is clicked</t>
  </si>
  <si>
    <t>M03</t>
  </si>
  <si>
    <t>T012</t>
  </si>
  <si>
    <t>System Settings</t>
  </si>
  <si>
    <t>Denial Category master</t>
  </si>
  <si>
    <t>T013</t>
  </si>
  <si>
    <t>Timely Filling Master</t>
  </si>
  <si>
    <t>T014</t>
  </si>
  <si>
    <t>Non Collectible Denial Code Master</t>
  </si>
  <si>
    <t>T015</t>
  </si>
  <si>
    <t>Follow up Notes Field Master | Claim Type, Followup Type, Claim Status</t>
  </si>
  <si>
    <t>T016</t>
  </si>
  <si>
    <t>Panel Type Master</t>
  </si>
  <si>
    <t>T017</t>
  </si>
  <si>
    <t>Denial Route Cause Master</t>
  </si>
  <si>
    <t>T018</t>
  </si>
  <si>
    <t>Fix / Resolution Master</t>
  </si>
  <si>
    <t>T019</t>
  </si>
  <si>
    <t>Denial Code - Denial Category Mapping Master</t>
  </si>
  <si>
    <t>T020</t>
  </si>
  <si>
    <t>CIP - Client Escalation Field Master</t>
  </si>
  <si>
    <t>M04</t>
  </si>
  <si>
    <t>T021</t>
  </si>
  <si>
    <t>Denial &amp; AR Work Queue</t>
  </si>
  <si>
    <t>Claim Listing table
Filtered claim listing from the claim level data table when the Route to Work Queue denial code selected in the insights</t>
  </si>
  <si>
    <t>T022</t>
  </si>
  <si>
    <t>Extend All Claims grid with
Aging | Denial Category | TFL | Priority | AR Queue | Expected Payment</t>
  </si>
  <si>
    <t>M05</t>
  </si>
  <si>
    <t>T023</t>
  </si>
  <si>
    <t>AR Financial &amp; Recovery Data Model</t>
  </si>
  <si>
    <t>Schema: financial &amp; recovery fields (expected/actual payment, variance, underpayment, recovered, remaining AR, initial AR, financial class, secondary payer)</t>
  </si>
  <si>
    <t>T024</t>
  </si>
  <si>
    <t>Weekly payment/AR refresh ETL from denial summary with recovery attribution rule (payment after AR activity)</t>
  </si>
  <si>
    <t>M06</t>
  </si>
  <si>
    <t>T025</t>
  </si>
  <si>
    <t>Claim Detail Workspace</t>
  </si>
  <si>
    <t>Claim Detail View
Overview | CPT\Line Detail | Denial Info | Followup | Acitivity Timeline</t>
  </si>
  <si>
    <t>T026</t>
  </si>
  <si>
    <t>Filter options
Cascade the filters to the claim listing table</t>
  </si>
  <si>
    <t>T027</t>
  </si>
  <si>
    <t>Filter claim view based on the filter options</t>
  </si>
  <si>
    <t>T028</t>
  </si>
  <si>
    <t>Log Follow-Up Note (Comments Framework)</t>
  </si>
  <si>
    <t>Comments Framework masters (claim type, follow-up type, claim status, root cause, fix/resolution by status, CIP lists)</t>
  </si>
  <si>
    <t>T029</t>
  </si>
  <si>
    <t>Log Follow-Up Note modal (conditional fields, +7-day default) replacing current Add Note; auto-submit to QA</t>
  </si>
  <si>
    <t>T030</t>
  </si>
  <si>
    <t>Excel bulk update of follow-ups on the new field set (reuse upload jobs, conflict check)</t>
  </si>
  <si>
    <t>T031</t>
  </si>
  <si>
    <t>Claim Assignment : Check box, multiselect, agent picker, claim assignment</t>
  </si>
  <si>
    <t>T032</t>
  </si>
  <si>
    <t>Claim Export : All claim Export, Filtered Claim Export</t>
  </si>
  <si>
    <t>M07</t>
  </si>
  <si>
    <t>T033</t>
  </si>
  <si>
    <t>Claim Lifecycle Rules &amp; AR Queue Classification Engine</t>
  </si>
  <si>
    <t>Automatic Adjustment (Non-Collectible Denials)
Non-collectible flag + Automatic Adjustment (single &amp; batch) with System/Automation audit entry</t>
  </si>
  <si>
    <t>T034</t>
  </si>
  <si>
    <t>Lifecycle rules as domain services/SQL views: financially closed, work complete, open insurance AR, days since last touch, follow-up actionable</t>
  </si>
  <si>
    <t>T035</t>
  </si>
  <si>
    <t>AR Queue classification engine (12 queues + collectible/non-collectible sub-queues), config-driven</t>
  </si>
  <si>
    <t>T036</t>
  </si>
  <si>
    <t>New workflow status state machine and transition guards</t>
  </si>
  <si>
    <t>T037</t>
  </si>
  <si>
    <t>Workflow Event &amp; Snapshot Infrastructure</t>
  </si>
  <si>
    <t>Event tables: activity (incl. System actor), follow-ups, QA records, agent requests, CIP cases, action completion (GAP-3/4/5/8)</t>
  </si>
  <si>
    <t>T038</t>
  </si>
  <si>
    <t>Nightly inventory snapshot job (Hangfire) for trend and movement reporting (GAP-6)</t>
  </si>
  <si>
    <t>T039</t>
  </si>
  <si>
    <t>Timely-filing thresholds by financial class; tflDeadline / tflRisk alongside existing SLA clock</t>
  </si>
  <si>
    <t>M08</t>
  </si>
  <si>
    <t>T040</t>
  </si>
  <si>
    <t>TFL Risk &amp; SLA Tracking</t>
  </si>
  <si>
    <t>Appying Timely-filing thresholds by financial class; tflDeadline / tflRisk alongside existing SLA clock</t>
  </si>
  <si>
    <t>M09</t>
  </si>
  <si>
    <t>T041</t>
  </si>
  <si>
    <t>Shared Table Utilities</t>
  </si>
  <si>
    <t>Shared grid: server-side sort/paging, filtered CSV export, column visibility, row-eligible bulk select, confirm dialog, summary toast</t>
  </si>
  <si>
    <t>T042</t>
  </si>
  <si>
    <t>Saved Views per user per queue (server-persisted)</t>
  </si>
  <si>
    <t>M10</t>
  </si>
  <si>
    <t>T043</t>
  </si>
  <si>
    <t>My Work (Agent caseload)</t>
  </si>
  <si>
    <t>My Work: new status/AR queue, Fix/Resolution &amp; next follow-up columns, Follow-Up Schedule panel</t>
  </si>
  <si>
    <t>M11</t>
  </si>
  <si>
    <t>T044</t>
  </si>
  <si>
    <t>Follow-Up Management</t>
  </si>
  <si>
    <t>Follow-Up Management queue (actionable + re-follow-up due rules) and overdue badge</t>
  </si>
  <si>
    <t>T045</t>
  </si>
  <si>
    <t>Followup card views : All Active, Overdue, Due Today,Upcoming, No Followup- schedule</t>
  </si>
  <si>
    <t>T046</t>
  </si>
  <si>
    <t>Search and All filters (including TFL, Save View)</t>
  </si>
  <si>
    <t>T047</t>
  </si>
  <si>
    <t>Cascading filters to claim listing</t>
  </si>
  <si>
    <t>T048</t>
  </si>
  <si>
    <t>Directing the user to Denial &amp; AR Queue for Followup log</t>
  </si>
  <si>
    <t>T049</t>
  </si>
  <si>
    <t>Roles &amp; Permission Matrix Configuration</t>
  </si>
  <si>
    <t>Reusable components System Administrator = Lab Admin , AR Manager = RCM Manager, Create Team Lead, QA Reviewer, Viewer roles; permission-matrix table and API authorisation policies</t>
  </si>
  <si>
    <t>P2</t>
  </si>
  <si>
    <t>T050</t>
  </si>
  <si>
    <t>Config-driven navigation and route guards from the permission matrix</t>
  </si>
  <si>
    <t>M12</t>
  </si>
  <si>
    <t>T051</t>
  </si>
  <si>
    <t>View  Only Acess (Client / Clinic / Provider)</t>
  </si>
  <si>
    <t>Access-grant model (all / client / clinic / provider) and central scoped-claims filter on every query, export and report</t>
  </si>
  <si>
    <t>T052</t>
  </si>
  <si>
    <t>Scope badge replacing client selector for scoped users</t>
  </si>
  <si>
    <t>M13</t>
  </si>
  <si>
    <t>T053</t>
  </si>
  <si>
    <t>User Management</t>
  </si>
  <si>
    <t>Create users and assign roles</t>
  </si>
  <si>
    <t>T054</t>
  </si>
  <si>
    <t xml:space="preserve">Cascading access picker, manager/team hierarchy </t>
  </si>
  <si>
    <t>M14</t>
  </si>
  <si>
    <t>T055</t>
  </si>
  <si>
    <t>Assignment Management</t>
  </si>
  <si>
    <t>Unassigned Claims view (open balance, untouched &gt;= 45 days, Days Untouched)</t>
  </si>
  <si>
    <t>T056</t>
  </si>
  <si>
    <t>Create Assignment Batch (criteria + agent + due date) and Assignment Batches log</t>
  </si>
  <si>
    <t>T057</t>
  </si>
  <si>
    <t>Assigned Claims - Bulk Reassign table and Agent Workload chart</t>
  </si>
  <si>
    <t>T058</t>
  </si>
  <si>
    <t>M15</t>
  </si>
  <si>
    <t>T059</t>
  </si>
  <si>
    <t>QA Workflow</t>
  </si>
  <si>
    <t>QA record &amp; decision API: self-approval block, approve &gt; Completed, reject &gt; QA Rejected</t>
  </si>
  <si>
    <t>T060</t>
  </si>
  <si>
    <t>QA Verification Queue UI: filters, bulk Approve Selected with count/AR confirmation</t>
  </si>
  <si>
    <t>M16</t>
  </si>
  <si>
    <t>T061</t>
  </si>
  <si>
    <t>CIP - Escalations</t>
  </si>
  <si>
    <t>CIP case model and 5-state lifecycle actions (approve, reject to agent, client response, insufficient/round+1, return to agent)</t>
  </si>
  <si>
    <t>T062</t>
  </si>
  <si>
    <t>CIP Escalations queue: stage counts, bulk approve / bulk reject-send back (mixed stages)</t>
  </si>
  <si>
    <t>T063</t>
  </si>
  <si>
    <t>Convert External Escalation / External Response data and Account Manager notes into CIP cases</t>
  </si>
  <si>
    <t>M17</t>
  </si>
  <si>
    <t>T064</t>
  </si>
  <si>
    <t>Client Portal - Escalation Requests (Viewer)</t>
  </si>
  <si>
    <t>Client Escalation Requests page: awaiting / submitted / resolved; respond with text + up to 3 attachments</t>
  </si>
  <si>
    <t>P3</t>
  </si>
  <si>
    <t>T065</t>
  </si>
  <si>
    <t>Bulk CSV response template download/upload</t>
  </si>
  <si>
    <t>T066</t>
  </si>
  <si>
    <t>Read-only Client CIP view for clinic/provider-scoped viewers</t>
  </si>
  <si>
    <t>M18</t>
  </si>
  <si>
    <t>T067</t>
  </si>
  <si>
    <t>Audit Logs (cross-claim)</t>
  </si>
  <si>
    <t>Audit Logs screen over activity spine (filters: user, action, client; claim links)</t>
  </si>
  <si>
    <t>M19</t>
  </si>
  <si>
    <t>T068</t>
  </si>
  <si>
    <t>Client Management</t>
  </si>
  <si>
    <t>Client Management cards (eligible claims, AR, recovered) with activate/deactivate</t>
  </si>
  <si>
    <t>M20</t>
  </si>
  <si>
    <t>T069</t>
  </si>
  <si>
    <t>Dashboard (KPIs &amp; AR Control Plan)</t>
  </si>
  <si>
    <t>Dashboard KPI API (10 KPIs recovered / potential recovery / overdue)</t>
  </si>
  <si>
    <t>P4</t>
  </si>
  <si>
    <t>T070</t>
  </si>
  <si>
    <t>Dashboard widgets: AR Collections Progress, Queue Volumes, Category &amp; Aging Distribution, Workflow Status, Recovery Performance, Agent Productivity, insights</t>
  </si>
  <si>
    <t>M21</t>
  </si>
  <si>
    <t>T071</t>
  </si>
  <si>
    <t>Recovery &amp; Financial Analytics</t>
  </si>
  <si>
    <t>Recovery analytics API (payer, panel, agent, client, category, AR queue) + follow-up comments breakdown</t>
  </si>
  <si>
    <t>T072</t>
  </si>
  <si>
    <t>Analytics UI charts with scope enforcement</t>
  </si>
  <si>
    <t>M22</t>
  </si>
  <si>
    <t>T073</t>
  </si>
  <si>
    <t>Reports</t>
  </si>
  <si>
    <t>Summary reports: AR Aging, Agent Productivity, Denial Analysis, Panel Type, Recovery Performance</t>
  </si>
  <si>
    <t>T074</t>
  </si>
  <si>
    <t>AR Collections Progress Summary with revenue confidence tiers (100/50/30)</t>
  </si>
  <si>
    <t>T075</t>
  </si>
  <si>
    <t>Re-point RPT-01..09 catalog to new event tables; unblock RPT-04 / RPT-09</t>
  </si>
  <si>
    <t>M23</t>
  </si>
  <si>
    <t>T076</t>
  </si>
  <si>
    <t>Testing, UAT &amp; Cutover</t>
  </si>
  <si>
    <t>Data sync testing</t>
  </si>
  <si>
    <t>P5</t>
  </si>
  <si>
    <t>T077</t>
  </si>
  <si>
    <t>Claim assignment workflow testing</t>
  </si>
  <si>
    <t>T078</t>
  </si>
  <si>
    <t>Assignment Management Testing</t>
  </si>
  <si>
    <t>T079</t>
  </si>
  <si>
    <t>Escalation Workflow testing</t>
  </si>
  <si>
    <t>T080</t>
  </si>
  <si>
    <t>UAT with pilot labs; defect fixing</t>
  </si>
  <si>
    <t>T081</t>
  </si>
  <si>
    <t>Training, SOP update</t>
  </si>
  <si>
    <t>T082</t>
  </si>
  <si>
    <t>Go-Live</t>
  </si>
  <si>
    <t>Go-live and System monitoring</t>
  </si>
  <si>
    <t>Decisions Required Before Build</t>
  </si>
  <si>
    <t>These change estimates if answered differently from the recommendation. Close them in P0 (task T001).</t>
  </si>
  <si>
    <t>ID</t>
  </si>
  <si>
    <t>Decision / Question</t>
  </si>
  <si>
    <t>Impacted Areas</t>
  </si>
  <si>
    <t>Suggestion</t>
  </si>
  <si>
    <t>Owner</t>
  </si>
  <si>
    <t>Decision (to fill)</t>
  </si>
  <si>
    <t>D-01</t>
  </si>
  <si>
    <t>Decide on whether to get the claim level / line level data</t>
  </si>
  <si>
    <t>We need to the line level data in order to display the CPT level denials. 
The line level data is already in the old denial workflow, we need to additionally add the No Response claims</t>
  </si>
  <si>
    <t>Get the line level data and group it up at a claim level on the Queues</t>
  </si>
  <si>
    <t>D-02</t>
  </si>
  <si>
    <t>We need to sync the entire claim level data for the denials (Frequency : Weekly)
If we only sync the data based on the denial insights how will we get the No Response claims?</t>
  </si>
  <si>
    <t>D-03</t>
  </si>
  <si>
    <t>Claims with multiple denial categories: which category drives the queue and dashboard (priority ranking)?</t>
  </si>
  <si>
    <t>Classification, dashboard counts</t>
  </si>
  <si>
    <t>Use Denial-Action Master priority to pick primary category.</t>
  </si>
  <si>
    <t>Logic yet to be decided</t>
  </si>
  <si>
    <t>D-04</t>
  </si>
  <si>
    <t>Get logic for AR Work Queue, Recovery Amount, Recovered Amount, Balance Recovery Amount, Recovery Rate calculations</t>
  </si>
  <si>
    <t>D-05</t>
  </si>
  <si>
    <t>When does a claim get closed?</t>
  </si>
  <si>
    <t>D-06</t>
  </si>
  <si>
    <t>What happens to the Ins Balance amount when the claim is closed?</t>
  </si>
  <si>
    <t>D-07</t>
  </si>
  <si>
    <t>Do we need keep the notes at a CPT level or claim level?</t>
  </si>
  <si>
    <t>Assignment, follow-up, QA, reporting</t>
  </si>
  <si>
    <t>Keep assignment at claim level, notes at line level.</t>
  </si>
  <si>
    <t>RSKP / Reporting Team</t>
  </si>
  <si>
    <t>D-08</t>
  </si>
  <si>
    <t>Recovery definition: what counts as 'Total Recovered' (payment posted after first AR activity?) and 'Potential Recovery'?</t>
  </si>
  <si>
    <t>Dashboard, analytics, reports</t>
  </si>
  <si>
    <t>Payment posted after first AR activity date = recovered.</t>
  </si>
  <si>
    <t>D-09</t>
  </si>
  <si>
    <t>Payment refresh happens every week during the master file sync for recovered amount and remaining AR (master file sync weekly?).</t>
  </si>
  <si>
    <t>Data model, ETL</t>
  </si>
  <si>
    <t>Weekly PMS AR export aligned to denial refresh.</t>
  </si>
  <si>
    <t>D-10</t>
  </si>
  <si>
    <t>Escalation hierarchy: redesign lets the Agent start a client escalation (CIP) that a Lead/Manager approves; locked DWMS rule is Analyst &gt; Manager internal only, Manager &gt; Account/Client Manager external only. Which rule wins?</t>
  </si>
  <si>
    <t>Escalations, CIP</t>
  </si>
  <si>
    <t>Keep manager approval gate: Agent requests, Manager approves - satisfies both.</t>
  </si>
  <si>
    <t>D-11</t>
  </si>
  <si>
    <t>Authoritative follow-up due date: NextFollowUpDate vs ExpectedResponseDate; configurable TAT per action (Appeal, Rebill, Write-off)?</t>
  </si>
  <si>
    <t>Follow-up queue, SLA, overdue KPI</t>
  </si>
  <si>
    <t>Single next-follow-up date; TAT table by action category.</t>
  </si>
  <si>
    <t>D-12</t>
  </si>
  <si>
    <t>If we have a configurable TAT for the actions do we need Due Date in the Batch Assignment?</t>
  </si>
  <si>
    <t>D-13</t>
  </si>
  <si>
    <t xml:space="preserve">Write-offs: keep Write-Off Pending Approval? </t>
  </si>
  <si>
    <t>Write-off control, audit</t>
  </si>
  <si>
    <t>Keep approval queue; auto-adjust closes workflow item only.</t>
  </si>
  <si>
    <t>D-14</t>
  </si>
  <si>
    <t xml:space="preserve">As per the document the Insurance Balance is Zeroed out for Auto Ajusted claims, what happens if the same claims comes up in the next batch sync in the denial? </t>
  </si>
  <si>
    <t>Auto Adjustment</t>
  </si>
  <si>
    <t>D-15</t>
  </si>
  <si>
    <t>If we ever reactivate the client we will only have the old data we would need to refresh the data?</t>
  </si>
  <si>
    <t>Client management</t>
  </si>
  <si>
    <t>Stop sync and hide from selectors; retain data.</t>
  </si>
  <si>
    <t>D-16</t>
  </si>
  <si>
    <t>Do we add a category drop down picker for Escalations, Request Reassignment so we can categorize them later</t>
  </si>
  <si>
    <t>D-17</t>
  </si>
  <si>
    <t>What is the logic for the Recovery Status?</t>
  </si>
  <si>
    <t>AR Workflow Redesign Plan — Corrected Order</t>
  </si>
  <si>
    <t>The same 82 tasks and estimates as the Plan sheet, re-sequenced so each task comes after what it depends on. Yellow rows moved; red notes flag duplicates to merge. Dates chain step by step from the start date (working days).</t>
  </si>
  <si>
    <t>Plan start date</t>
  </si>
  <si>
    <t>Total days</t>
  </si>
  <si>
    <t>Go-live</t>
  </si>
  <si>
    <t>Step</t>
  </si>
  <si>
    <t>Seq</t>
  </si>
  <si>
    <t>Depends On</t>
  </si>
  <si>
    <t>Original Position (Plan sheet)</t>
  </si>
  <si>
    <t>Change &amp; Reason</t>
  </si>
  <si>
    <t>Status</t>
  </si>
  <si>
    <t>Status Notes (AR Workbench)</t>
  </si>
  <si>
    <t>—</t>
  </si>
  <si>
    <t>Row 4 · M01 · P0</t>
  </si>
  <si>
    <t>No change. Close D-01 … D-17 here: D-03 (primary category), D-04 / D-08 (recovery logic) and D-05 / D-06 (claim closure) change the data model and the queue engine built next.</t>
  </si>
  <si>
    <t>In Progress</t>
  </si>
  <si>
    <t>Clarifications sheet: only D-01 and D-03 have a decision; D-02, D-04 … D-17 are still open.</t>
  </si>
  <si>
    <t>Row 52 · M11 · P2 → P1</t>
  </si>
  <si>
    <t>Moved from P2 (was after Follow-Up Management). Every screen's menu, route guard and API check reads the permission matrix, and My Work's own-caseload rule needs the agent role — building the screens first means going back to each one.</t>
  </si>
  <si>
    <t>Completed</t>
  </si>
  <si>
    <t>8 'AR Workbench - …' roles + RoleFeatureAccess matrix (LRNMaster_01_ARWB_Roles_Access.sql); every API call checks the permission.</t>
  </si>
  <si>
    <t>Row 53 · M11 · P2 → P1</t>
  </si>
  <si>
    <t>Moved from P2 with T049. Module ID was a duplicate M11 (also used by Follow-Up Management).</t>
  </si>
  <si>
    <t>navigation.js drives the sidebar and the route guard; API enforces the same roles.</t>
  </si>
  <si>
    <t>View Only Access (Client / Clinic / Provider)</t>
  </si>
  <si>
    <t>Row 54 · M12 · P2 → P1</t>
  </si>
  <si>
    <t>Moved from P2. The scoped-claims filter has to be in every query, export and report from the first one; adding it after the screens exist means revisiting every query.</t>
  </si>
  <si>
    <t>Clinic / provider / agent scope applied in SQL on every claim query (SqlArWorkbenchRepository.AppendScope).</t>
  </si>
  <si>
    <t>Row 55 · M12 · P2 → P1</t>
  </si>
  <si>
    <t>Moved from P2 with T051.</t>
  </si>
  <si>
    <t>Scope badge in the top bar for clinic / provider-scoped users (AppShell).</t>
  </si>
  <si>
    <t>System Settings (Masters)</t>
  </si>
  <si>
    <t>T001 (D-03)</t>
  </si>
  <si>
    <t>Row 15 · M03 · P1</t>
  </si>
  <si>
    <t>Moved ahead of the data sync: the sync and the queue engine read these masters.</t>
  </si>
  <si>
    <t>Master Values &gt; Workbench Lists: Denial Categories (add / edit / deactivate / delete).</t>
  </si>
  <si>
    <t>Row 16 · M03 · P1</t>
  </si>
  <si>
    <t>Moved ahead of the data sync. TFL thresholds are read by T040.</t>
  </si>
  <si>
    <t>Master Values &gt; Timely Filing Limits: limit per financial class, default limit and risk window; saving recalculates every claim's TFL deadline and risk flag.</t>
  </si>
  <si>
    <t>Row 17 · M03 · P1</t>
  </si>
  <si>
    <t>Moved ahead of the data sync: the Non-Collectible list drives the Non-Collectible sub-queues (T035) and Automatic Adjustment (T033).</t>
  </si>
  <si>
    <t>Master Values &gt; Workbench Lists: Non-Collectible Denial Codes.</t>
  </si>
  <si>
    <t>T001 (D-07)</t>
  </si>
  <si>
    <t>Row 18 · M03 · P1</t>
  </si>
  <si>
    <t>Moved ahead of the data sync.</t>
  </si>
  <si>
    <t>Master Values &gt; Workbench Lists: Claim Types, Follow-Up Types, Follow-Up Claim Statuses.</t>
  </si>
  <si>
    <t>Row 19 · M03 · P1</t>
  </si>
  <si>
    <t>Master Values &gt; Workbench Lists: Panel Types.</t>
  </si>
  <si>
    <t>Row 20 · M03 · P1</t>
  </si>
  <si>
    <t>Master Values &gt; Workbench Lists: Denial Root Cause Options.</t>
  </si>
  <si>
    <t>Row 21 · M03 · P1</t>
  </si>
  <si>
    <t>Master Values &gt; Workbench Lists: Fix / Resolution Options. Fix / Resolution by Status is view-only.</t>
  </si>
  <si>
    <t>Row 22 · M03 · P1</t>
  </si>
  <si>
    <t>Moved ahead of the data sync: the sync sets each claim's denial category from this map.</t>
  </si>
  <si>
    <t>Master Values &gt; Denial Code Master (Super Master) and Workbench Category Map, with Excel import / export and Apply to claims.</t>
  </si>
  <si>
    <t>T001 (D-10)</t>
  </si>
  <si>
    <t>Row 23 · M03 · P1</t>
  </si>
  <si>
    <t>Master Values &gt; Workbench Lists: CIP Categories, CIP Required Information.</t>
  </si>
  <si>
    <t>T015, T017, T018, T020</t>
  </si>
  <si>
    <t>Row 31 · M06 · P1</t>
  </si>
  <si>
    <t>Moved here from Log Follow-Up Note. DUPLICATE of T015 / T017 / T018 / T020 (the same Comments Framework masters) — merge and drop one estimate.</t>
  </si>
  <si>
    <t>Same masters as T015 / T017 / T018 / T020 (duplicate task).</t>
  </si>
  <si>
    <t>T001 (D-04, D-08)</t>
  </si>
  <si>
    <t>Row 26 · M05 · P1</t>
  </si>
  <si>
    <t>Moved before the AR claim table and sync (was after the Work Queue). The financial and recovery columns belong in the AR claim table (T002); adding them after the sync is built means changing the table and the sync twice.</t>
  </si>
  <si>
    <t>Financial &amp; recovery columns on dbo.ARWB_Claim (initial AR, revenue expectation, variance, underpayment, recovered, remaining AR). 10/16/2026: Revenue Expectation now priced from Master Values &gt; Fees Schedule Import (LRNMaster.dbo.FeeSchedule, HCPCS + Rate), copied into each labs ARWB_CptFeeSchedule on sync; only denied CPTs count (ARWB_ClaimDeniedCpt keeps a CPT once denied, even after it is paid).</t>
  </si>
  <si>
    <t>Row 40 · M07 · P1</t>
  </si>
  <si>
    <t>Moved before the data sync: the sync writes the 'Claim Identified' / 'Source Data Updated' activity rows, and every later screen writes to these tables.</t>
  </si>
  <si>
    <t>Tables: ARWB_ClaimActivity, ClaimFollowUp, ClaimQaReview, AgentRequest, CipCase(+History), Document.</t>
  </si>
  <si>
    <t>Row 5 · M02 · P1</t>
  </si>
  <si>
    <t>No change in order within the module; now after the data model and masters it depends on.</t>
  </si>
  <si>
    <t>dbo.ARWB_Claim + ARWB_ClaimLine + ARWB_ClaimLineDenial.</t>
  </si>
  <si>
    <t>T002, T012–T019, T037</t>
  </si>
  <si>
    <t>Row 6 · M02 · P1</t>
  </si>
  <si>
    <t>dbo.ARWB_usp_LoadClaimsFromSource syncs every claim and line, then classifies them.</t>
  </si>
  <si>
    <t>Row 7 · M02 · P1</t>
  </si>
  <si>
    <t>Claim workspace tabs: Overview, CPT / Line Details, Denial, Follow-Ups, Activity Timeline.</t>
  </si>
  <si>
    <t>Row 8 · M02 · P1</t>
  </si>
  <si>
    <t>dbo.ARWB_DenialInsight + ARWB_DenialInsightClaim.</t>
  </si>
  <si>
    <t>Row 9 · M02 · P1</t>
  </si>
  <si>
    <t>dbo.ARWB_usp_BuildDenialInsights builds current + previous week insights from the synced claims (not copied from the Denial Summary report).</t>
  </si>
  <si>
    <t>Row 10 · M02 · P1</t>
  </si>
  <si>
    <t>Insights stored per refresh run / sync week (dbo.ARWB_vw_DenialInsight).</t>
  </si>
  <si>
    <t>Row 11 · M02 · P1</t>
  </si>
  <si>
    <t>Run Data Processing runs the sync, which rebuilds the insights (step 5 of the load procedure).</t>
  </si>
  <si>
    <t>T003, T023 (D-09)</t>
  </si>
  <si>
    <t>Row 27 · M05 · P1</t>
  </si>
  <si>
    <t>Moved here from the Financial &amp; Recovery Data Model: the weekly payment / AR refresh runs inside the same weekly sync.</t>
  </si>
  <si>
    <t>Weekly sync refreshes payments and balances; recovery attribution rule ('payment after first AR activity') waits on decision D-08. 10/16/2026: Recovery Status = Fully Recovered when insurance + patient paid &gt;= Revenue Expectation, else Partially Recovered / In Progress / No Recovery; Master File Processor runs the AR Workbench sync only for labs with ArWorkbenchEnabled = true. Attribution rule D-08 still open.</t>
  </si>
  <si>
    <t>T003, T008</t>
  </si>
  <si>
    <t>Row 12 · M02 · P1</t>
  </si>
  <si>
    <t>Data Processing screen: run history, last refresh, source period, record counts, Run Data Processing.</t>
  </si>
  <si>
    <t>T003, T024 (D-05, D-06)</t>
  </si>
  <si>
    <t>Row 37 · M07 · P1</t>
  </si>
  <si>
    <t>Moved before the Work Queue (was after it): the grid's Aging, TFL, Priority and AR Queue columns (T022) come from these rules.</t>
  </si>
  <si>
    <t>dbo.ARWB_usp_RecalculateClaimState: financially closed, work complete, open insurance AR, re-follow-up due, follow-up actionable.</t>
  </si>
  <si>
    <t>T034, T014, T019</t>
  </si>
  <si>
    <t>Row 38 · M07 · P1</t>
  </si>
  <si>
    <t>Moved before the Work Queue.</t>
  </si>
  <si>
    <t>Queue engine in the same procedure: 12 AR queues + collectible / non-collectible sub-queues from dbo.ARWB_ArQueue.</t>
  </si>
  <si>
    <t>T034, T037</t>
  </si>
  <si>
    <t>Row 39 · M07 · P1</t>
  </si>
  <si>
    <t>Moved before the Work Queue and the follow-up note, which move claims through these statuses.</t>
  </si>
  <si>
    <t>All workflow transitions in place with guards: Unassigned/Completed -&gt; Assigned (assignment; Submitted for QA / QA Rejected untouched), Assigned/QA Rejected -&gt; Submitted for QA (follow-up; blocked while awaiting QA or financially closed), Submitted for QA -&gt; Completed / QA Rejected (QA decision; Awaiting QA only, no self-approval), Completed -&gt; re-follow-up queues via ARWB_usp_RecalculateClaimState; statuses constrained by CK_ARWB_Claim_WorkflowStatus.</t>
  </si>
  <si>
    <t>T013, T034</t>
  </si>
  <si>
    <t>Row 42 · M07 · P1</t>
  </si>
  <si>
    <t>Moved here from Workflow Event &amp; Snapshot Infrastructure. DUPLICATE of T040 (same text) — merge and drop one estimate.</t>
  </si>
  <si>
    <t>Same as T040 (duplicate task).</t>
  </si>
  <si>
    <t>Row 43 · M08 · P1</t>
  </si>
  <si>
    <t>Moved before the Work Queue: TFL is a Work Queue column and filter.</t>
  </si>
  <si>
    <t>TflDeadline / IsTflRisk computed per claim; TFL column and 'TFL risk only' filter on the Work Queue.</t>
  </si>
  <si>
    <t>Automatic Adjustment (Non-Collectible Denials)</t>
  </si>
  <si>
    <t>T014, T035, T037</t>
  </si>
  <si>
    <t>Row 36 · M07 · P1</t>
  </si>
  <si>
    <t>Moved after the queue engine (was listed before it). It acts on the Non-Collectible sub-queues from T035 and writes its System / Automation audit entry to T037.</t>
  </si>
  <si>
    <t>API POST /api/ar-workbench/auto-adjustments/preview|process|mark-posted over ARWB_usp_ProcessAutoAdjustments / MarkAdjustmentsPosted (System Admin / RCM Manager / Team Lead). Work Queue: Process Automatic Adjustments (selected or all eligible) with count/$ confirmation, Mark as Posted for selected. Claim page: single Process Automatic Adjustment + Mark as Posted. System / Automation activity entry written by the procedure. Open item: AutoAdjustIncludesNonCollectible = 0, so only AUTO_ADJUST_CODE codes are eligible until set to 1.</t>
  </si>
  <si>
    <t>Row 41 · M07 · P1</t>
  </si>
  <si>
    <t>Kept in P1, after the queue engine: the nightly snapshot stores each claim's AR queue. Start it early so trend history exists by the P4 reports.</t>
  </si>
  <si>
    <t>ArWorkbenchSnapshotScheduler (hosted service, the API's existing scheduler pattern; no Hangfire in this API): every night after ArWorkbenchSnapshots:RunAtHour (Eastern) each lab with the AR Workbench installed runs ARWB_usp_SnapshotQueues once (recalculate + queue snapshot), sp_getapplock against double runs. Data Processing: Nightly Queue Snapshots history + Take snapshot now (GET data-processing/snapshots, POST data-processing/snapshots/run).</t>
  </si>
  <si>
    <t>Row 44 · M09 · P1</t>
  </si>
  <si>
    <t>Moved before the first grid (was after the Work Queue and Claim Detail): Work Queue, My Work, Follow-Up, QA and Assignment all use it.</t>
  </si>
  <si>
    <t>Shared DataTable: server-side sort / paging, CSV export, column visibility, row selection; shared Modal and Notice.</t>
  </si>
  <si>
    <t>T041, T049</t>
  </si>
  <si>
    <t>Row 45 · M09 · P1</t>
  </si>
  <si>
    <t>Moved with T041. Saved Views are per user, so they need the user / role model.</t>
  </si>
  <si>
    <t>Saved Views built: GET/POST/PUT/DELETE /api/ar-workbench/saved-views over dbo.ARWB_SavedView (per user + screen, 50 max, one default). Save / apply / star default / delete control on Work Queue, My Work and Follow-Up Management; default view opens with the screen. Rules unit-tested.</t>
  </si>
  <si>
    <t>T003, T041</t>
  </si>
  <si>
    <t>Row 24 · M04 · P1</t>
  </si>
  <si>
    <t>Now after the data, rules and grid it is built on.</t>
  </si>
  <si>
    <t>Denial &amp; AR Work Queue: claim listing with server paging.</t>
  </si>
  <si>
    <t>T021, T023, T035, T040</t>
  </si>
  <si>
    <t>Row 25 · M04 · P1</t>
  </si>
  <si>
    <t>Now after the queue engine, TFL and financial model that supply its columns.</t>
  </si>
  <si>
    <t>Work Queue columns include Aging, Denial Category, TFL, Priority, AR Queue and Expected Payment (Revenue Expectation, sortable). 10/16/2026: column renamed Revenue Expectation (DEF-10); Recovery Status column added.</t>
  </si>
  <si>
    <t>Row 29 · M06 · P1</t>
  </si>
  <si>
    <t>Moved from Claim Detail Workspace: filters cascade to the claim listing, so they belong to the Work Queue.</t>
  </si>
  <si>
    <t>Work Queue multi-select filters (clinic, payer, panel, category, status, agent, priority, aging, queue), kept in the URL.</t>
  </si>
  <si>
    <t>Row 30 · M06 · P1</t>
  </si>
  <si>
    <t>Moved from Claim Detail Workspace with T026.</t>
  </si>
  <si>
    <t>Listing re-queries on every filter change; filter chips.</t>
  </si>
  <si>
    <t>T021, T049</t>
  </si>
  <si>
    <t>Row 34 · M06 · P1</t>
  </si>
  <si>
    <t>Moved from Log Follow-Up Note: assigning claims (checkbox, multiselect, agent picker) is a Work Queue action.</t>
  </si>
  <si>
    <t>Work Queue checkbox selection + Assign Selected (agent picker, note, due date).</t>
  </si>
  <si>
    <t>T021, T051</t>
  </si>
  <si>
    <t>Row 35 · M06 · P1</t>
  </si>
  <si>
    <t>Moved from Log Follow-Up Note: export of the (scoped) claim listing.</t>
  </si>
  <si>
    <t>Work Queue: Export Filtered / Export All to Excel - every matching claim in the caller's scope (up to 100,000 rows), not just the page. 10/15/2026: exports now run as background jobs (Denial Workflow Overall Download pattern) - Work Queue, My Work, Follow-Up, Assignment (Unassigned / Assigned), Audit Log and Reports; top-bar Downloads list with status, cancel and Download File; auto-download when ready. Export speed fix: single-pass claim query + bulk-copied keys for the detail columns (84k claims ~2 min, was 60+ min); My Downloads page lists export history.</t>
  </si>
  <si>
    <t>T009, T021</t>
  </si>
  <si>
    <t>Row 13 · M02 · P1</t>
  </si>
  <si>
    <t>Moved after the Work Queue: the drill-through lands on it.</t>
  </si>
  <si>
    <t>Data Processing screen: Denial Analysis Report for the current and previous sync week (open claims / balance, top payer, impact, observation, action) with Route to Work Queue.</t>
  </si>
  <si>
    <t>Row 14 · M02 · P1</t>
  </si>
  <si>
    <t>Moved after the Work Queue: the redirect lands on it.</t>
  </si>
  <si>
    <t>Dashboard insights route to the Work Queue filtered to the denial code.</t>
  </si>
  <si>
    <t>T021, T037</t>
  </si>
  <si>
    <t>Row 28 · M06 · P1</t>
  </si>
  <si>
    <t>Now after the Work Queue it opens from and the activity tables its timeline reads.</t>
  </si>
  <si>
    <t>Claim workspace (/claims/:claimKey) with Overview, CPT, Denial, Follow-Ups, Activity Timeline.</t>
  </si>
  <si>
    <t>T025, T015, T018, T036</t>
  </si>
  <si>
    <t>Row 32 · M06 · P1</t>
  </si>
  <si>
    <t>Now after the masters, status rules and Claim Detail it lives in. Note: it auto-submits to QA; the QA queue is P2 (T059 / T060).</t>
  </si>
  <si>
    <t>Log Follow-Up Note on the claim workspace: Comments Framework fields, root cause when Denied, fix options by claim status, CIP block; saving sends the claim to QA (POST claims/{key}/follow-ups).</t>
  </si>
  <si>
    <t>Row 33 · M06 · P1</t>
  </si>
  <si>
    <t>Bulk Update (Excel) on Work Queue, My Work, Follow-Up Management and Assignment (both tables): template = page's filtered claims / selected claims / blank, with dropdowns (Assign To = assignable agents; Claim Type, Follow-Up Type, Claim Status, Denial Root Cause, Fix / Resolution, CIP lists) and a How To sheet. Upload runs on the Denial Workflow upload job runner (background, per-row result, downloadable log): Assign To -&gt; bulk assignment, follow-up columns -&gt; Comments Framework note via LogFollowUpAsync (same validation, sends to QA). Conflict check: claim's latest user-activity id stamped in the template; worked-since rows fail. Rules + template round-trip unit-tested.</t>
  </si>
  <si>
    <t>T031, T049, T029</t>
  </si>
  <si>
    <t>Row 46 · M10 · P1</t>
  </si>
  <si>
    <t>Now after assignment (T031) and the agent role (T049) it depends on.</t>
  </si>
  <si>
    <t>My Work page built (/my-work): 9 quick-filter tiles from GET work-summary, search + payer/panel/category/priority/status/TFL + more filters, AR Queue, Fix/Resolution, Next Follow-Up columns, Log Follow-Up action. Agent sees own caseload (SQL scope).</t>
  </si>
  <si>
    <t>T029, T034</t>
  </si>
  <si>
    <t>Row 47 · M11 · P1</t>
  </si>
  <si>
    <t>Follow-Up Management page built (/follow-up): IsFollowUpActionable queue, overdue/today styling on Next Follow-Up, Agent + Last Follow-Up columns, Log Follow-Up drops the claim off the list.</t>
  </si>
  <si>
    <t>Row 48 · M11 · P1</t>
  </si>
  <si>
    <t>Tiles All Active / Overdue / Due Today / Upcoming / No Follow-Up Scheduled with live counts; click filters the list.</t>
  </si>
  <si>
    <t>T044, T042</t>
  </si>
  <si>
    <t>Row 49 · M11 · P1</t>
  </si>
  <si>
    <t>Search, all filters, TFL and Save View (T042) in place on Follow-Up Management.</t>
  </si>
  <si>
    <t>Row 50 · M11 · P1</t>
  </si>
  <si>
    <t>Cascading filters: GET claims/filter-options?cascade=true takes the page's current filters; each list (queue, payer, panel, clinic, category, agent, status, priority, aging, fix/resolution, claim status) is counted over the OTHER filters + scope, never over itself (selected values stay visible), empty values dropped. Wired on Work Queue, My Work, Follow-Up Management (tile included) and Assignment Bulk Reassign, debounced.</t>
  </si>
  <si>
    <t>T044, T021</t>
  </si>
  <si>
    <t>Row 51 · M11 · P1</t>
  </si>
  <si>
    <t>Claim ID / row opens claim detail (back returns to the page); Log Follow-Up opens the same follow-up modal as the Work Queue.</t>
  </si>
  <si>
    <t>T049, T051</t>
  </si>
  <si>
    <t>Row 56 · M13 · P2</t>
  </si>
  <si>
    <t>Moved ahead of Assignment Management: the agent picker lists users with an agent role and lab access.</t>
  </si>
  <si>
    <t>AR Workbench User Management page (/users) + GET/POST/PUT /api/ar-workbench/users: create with username, password, email, one AR Workbench role, multi-select labs; edit email/role/labs/active/password reset. Super Admin = all labs; AR Workbench System Administrator / Lab Admin = own dbo.UserLabs. Writes LRNMaster LabUsers/UserRoles/UserLabs in one transaction, LRN Metrics-compatible PBKDF2 hash. Own account, site admins and users with labs/roles outside the caller's reach are read-only. Clinic/Provider Viewer not offered (needs scope). Rules unit-tested.</t>
  </si>
  <si>
    <t>Row 57 · M13 · P2</t>
  </si>
  <si>
    <t>User Management: Clinic / Provider Viewer roles now assignable with a cascading access picker (per selected lab, the clinic or referring provider chosen from that lab's ARWB claims -&gt; LRNMaster dbo.ARWB_UserScope, only the caller's labs replaced); Manager (System Administrators / RCM Managers / Team Leads in reach, not self) and Team -&gt; dbo.LabUsers.ManagerUserID / TeamName (the AR reports' analyst-manager-team dimension). Table shows manager, team and access. Rules unit-tested.</t>
  </si>
  <si>
    <t>T031, T034, T053</t>
  </si>
  <si>
    <t>Row 58 · M14 · P2</t>
  </si>
  <si>
    <t>Assignment Management: Unassigned Claims (open balance, untouched 45+ days, Days Untouched).</t>
  </si>
  <si>
    <t>Row 59 · M14 · P2</t>
  </si>
  <si>
    <t>Create Assignment Batch (criteria preview, agent, due date) + Assignment Batches with live completion and running log.</t>
  </si>
  <si>
    <t>Row 60 · M14 · P2</t>
  </si>
  <si>
    <t>Assigned Claims – Bulk Reassign + Agent Workload chart; reassigning resolves pending reassignment requests.</t>
  </si>
  <si>
    <t>Row 61 · M14 · P2</t>
  </si>
  <si>
    <t>CHECK: same text as T048 ('Directing the user to Denial &amp; AR Queue for Followup log') — likely a copy; confirm the intended task.</t>
  </si>
  <si>
    <t>Claims open in the claim workspace, where Log Follow-Up Note is now available.</t>
  </si>
  <si>
    <t>T029, T036</t>
  </si>
  <si>
    <t>Row 62 · M15 · P2</t>
  </si>
  <si>
    <t>No change. Start P2 with QA straight after P1 testing: follow-up notes auto-submit to QA from T029, so claims pile up in Submitted for QA until this lands.</t>
  </si>
  <si>
    <t>QA decision API: GET /api/ar-workbench/qa (queue + summary), POST qa/{claimKey}/decision, POST qa/bulk-approve (ARWorkbench.QaDecide). One transaction per claim: only the current Awaiting QA review; self-approval blocked (note author or claim holder, plus table CHECK). Approve -&gt; Completed (CIP note: case Awaiting QA -&gt; Pending Approval + history; Write Off: Approved Write-Off + agent notification). Reject -&gt; QA Rejected, Error Type (QA_ERROR_TYPE) + note required, held CIP case closed. Scores stored. Rules unit-tested.</t>
  </si>
  <si>
    <t>T059, T041</t>
  </si>
  <si>
    <t>Row 63 · M15 · P2</t>
  </si>
  <si>
    <t>QA Verification Queue page (/qa): tiles (Awaiting QA, Escalations / Write-Offs pending, QA Rejected, Reject Rate), filters (search, QA status, payer, panel, category, agent, reviewer, escalation), per-row Approve / Reject (error type, note, 6 scoring criteria), Approve Selected with count / insurance AR confirmation (own work and decided claims skipped and counted). Claim page: QA Review tab with the same actions.</t>
  </si>
  <si>
    <t>T029, T059 (D-10)</t>
  </si>
  <si>
    <t>Row 64 · M16 · P2</t>
  </si>
  <si>
    <t>No change. A CIP case reaches Pending Approval only after QA approves the note (T059).</t>
  </si>
  <si>
    <t>CIP lifecycle API (POST cip/{caseId}/action): Pending Approval -&gt; approve (Sent to Client) / reject with reason (Returned to Agent, claim reopens); Sent to Client -&gt; respond (client user, Client Responded, notifies leads); Client Responded -&gt; approve-response (Returned to Agent, claim to CIP Response queue) / insufficient with reason (re-sent, round + 1, reason shown to client). Each action: CipCaseHistory, claim activity, recalc. QA approval releases Awaiting QA -&gt; Pending Approval (T059). Client Escalation Requests page (/client-cip) for viewers; claim page CIP tab with history. Not included: file attachments on responses (ARWB_Document / blob storage). D-10 open items not applied.</t>
  </si>
  <si>
    <t>Row 65 · M16 · P2</t>
  </si>
  <si>
    <t>CIP Escalations queue (/cip, ARWorkbench.Approve): stage tiles (Pending Approval, Awaiting Client, Client Responded, Returned to Agent, Awaiting QA), search / status / category filters, Review &amp; Approve and Review Response dialogs, Bulk Approve / Bulk Reject-Send Back over mixed stages (each case by its own stage, others skipped and counted, shared note tagged as bulk in history).</t>
  </si>
  <si>
    <t>Row 66 · M16 · P2</t>
  </si>
  <si>
    <t>Script 09_ARWB_Legacy_Cip_Conversion.sql: ARWB_usp_ConvertLegacyEscalations (+ ARWB_CipCaseLegacyMap) reads dbo.DenialClaimEscalations external escalations (Client / Account Manager) and creates CIP cases: open -&gt; Sent to Client, responded (Account Manager / Client / Manager Response: in Comments, or responded status) -&gt; Client Responded with the response text, resolved / closed / write-off -&gt; Returned to Agent; history + claim activity + recalc; re-runnable (each escalation once), Denial Workflow data read-only. CIP page: Convert Denial Workflow Escalations (preview, then convert; Admin / RCM Manager). Needs a real-data check of the response-text parsing.</t>
  </si>
  <si>
    <t>T061, T051</t>
  </si>
  <si>
    <t>Row 67 · M17 · P3</t>
  </si>
  <si>
    <t>No change.</t>
  </si>
  <si>
    <t>Client Escalation Requests page (/client-cip): tiles/tabs Awaiting Your Response / Submitted - Under Review / Resolved, search, reviewer feedback when insufficient, View dialog; Respond with text + up to 3 attachments (POST cip/{caseId}/respond, multipart; type and size from AttachmentAllowedTypes / AttachmentMaxBytes, file-signature check). Files: IArWorkbenchDocumentStore (local disk under ArWorkbenchDocuments:RootPath until Azure Blob), metadata in ARWB_Document, every upload / download in ARWB_DocumentAccessLog; download GET documents/{id} (scope-checked; clients only CIP responses). Attachments shown in CIP Escalations and the claim CIP tab.</t>
  </si>
  <si>
    <t>Row 68 · M17 · P3</t>
  </si>
  <si>
    <t>Bulk CSV response: GET client-cip/template (CSV of requests awaiting response: Case ID, Claim ID, Patient Acct, DOS, Rendering Provider, Payer, CIP Category, Required Information, Request, Response, Attachment Notes; formula-safe), POST client-cip/template (rows with a Response answer their open request; skipped blank / not open / not found counted). CSV reader/writer unit-tested.</t>
  </si>
  <si>
    <t>T064, T051</t>
  </si>
  <si>
    <t>Row 69 · M17 · P3</t>
  </si>
  <si>
    <t>Clinic / Provider Viewers see their clinic's / provider's requests (claim scope) read-only: no Respond, no template; the API refuses respond / template for them. Whole-client viewers respond; administrators may respond on a client's behalf.</t>
  </si>
  <si>
    <t>Row 70 · M18 · P3</t>
  </si>
  <si>
    <t>Audit Logs page (/audit, ARWorkbench.ViewAudit) over ARWB_ClaimActivity across claims, within scope: search, User / Action / Client multi-selects, date range, include-system-entries toggle, sortable paged table (timestamp, claim link, client, user, role, action, previous -&gt; new value, description), Export Excel of every match (up to 50,000). GET audit, GET audit/export.</t>
  </si>
  <si>
    <t>T003 (D-15)</t>
  </si>
  <si>
    <t>Row 71 · M19 · P3</t>
  </si>
  <si>
    <t>Client Management page (/clients, ARWorkbench.ViewClientMgmt): a card per client (lab) - eligible claims (open insurance AR), claims in source, outstanding AR, recovered, assigned, awaiting QA, last refresh; Deactivate (reason required) / Reactivate (admins). Activation in LRNMaster dbo.ARWB_ClientSetting + history (script LRNMaster_03_ARWB_ClientSetting.sql): an inactive client is hidden from the lab picker and closed to non-admins (API-enforced), skipped by the nightly snapshot, banner for admins. Client = lab pending decision D-15.</t>
  </si>
  <si>
    <t>M24</t>
  </si>
  <si>
    <t>T024, T035, T038</t>
  </si>
  <si>
    <t>Row 72 · M20 · P4</t>
  </si>
  <si>
    <t>GET /api/ar-workbench/dashboard: 10 KPI tiles (claims, outstanding AR, unassigned, in progress, QA, completed, recovered, potential recovery, overdue follow-ups).</t>
  </si>
  <si>
    <t>Row 73 · M20 · P4</t>
  </si>
  <si>
    <t>Dashboard widgets: insights, AR Collections Progress, Queue Volumes, Category &amp; Aging, Workflow Status, Recovery Performance, Agent Productivity.</t>
  </si>
  <si>
    <t>M25</t>
  </si>
  <si>
    <t>T024, T029</t>
  </si>
  <si>
    <t>Row 74 · M21 · P4</t>
  </si>
  <si>
    <t>GET /api/ar-workbench/analytics (every role, scope applied in SQL; SqlArWorkbenchRepository.Analytics.cs): totals (initial insurance AR, recovered, outstanding, recovery rate over claims with a non-zero initial balance), recovered vs outstanding by client, payer, panel, denial category, agent and AR queue (top 15 + 'All other (n)' rollup, Work Queue drill keys), and the Follow-Up Comments Breakdown by Claim Status / Fix-Resolution / Denial Root Cause (notes, distinct claims, current balance counted once per claim; system notes excluded). Rules unit-tested (ArWorkbenchAnalyticsRulesTests).</t>
  </si>
  <si>
    <t>T071, T051</t>
  </si>
  <si>
    <t>Row 75 · M21 · P4</t>
  </si>
  <si>
    <t>Recovery &amp; Financial Analytics page (/analytics, every role; AnalyticsPage.jsx): KPI tiles (Initial Insurance AR, Recovered, Outstanding, Recovery Rate) + definitions, recovered-vs-outstanding split bars (new ComparisonBars chart) by Client, Payer, Panel Type, Denial Category, Agent (hidden from viewers) and AR Queue; bars drill into the Work Queue filtered to that value when the role can open it. Follow-Up Comments Breakdown tabs (Claim Status / Fix-Resolution / Denial Root Cause) with CSV export. Scope enforced by the API (SQL), not the page.</t>
  </si>
  <si>
    <t>M26</t>
  </si>
  <si>
    <t>T024, T038</t>
  </si>
  <si>
    <t>Row 76 · M22 · P4</t>
  </si>
  <si>
    <t>Reports page (/reports, every role; ReportsPage.jsx) + GET /api/ar-workbench/reports, reports/{id}, reports/{id}/export (Excel, house theme; SqlArWorkbenchRepository.Reports.cs, ArWorkbenchReportExcel.cs). Summary reports, scope applied in SQL: Denial Analysis (denied claims by category: claims, outstanding, recovered, % of outstanding), Panel Type, AR Aging (master bucket order, zero buckets shown), Recovery Performance (by client: initial AR, recovered, outstanding, recovery rate), Recovery Trend (last 30 nightly snapshots from T038: outstanding, recovered to date, recovered since previous, unassigned open), Agent Productivity (assigned, completed, awaiting QA, QA rejected, notes logged in 30 days, outstanding, recovery $; internal only - refused for viewers). Totals rows; open report kept in the URL. Report rules + Excel export unit-tested (ArWorkbenchReportRulesTests).</t>
  </si>
  <si>
    <t>Row 77 · M22 · P4</t>
  </si>
  <si>
    <t>AR Collections Progress Summary (featured report on /reports; GET reports/ar-collections + Excel export; ArWorkbenchReportRules.BuildArCollections): one bold row per top-level AR queue in queue order with its sub-queues indented (largest first), Grand Total; Count, Revenue Expectation and Yet to Collect at each confidence tier from Master Values REVENUE_CONFIDENCE_TIER (100 / 50 / 30 default; yet-to-collect = initial insurance AR x tier for claims insurance still owes), Payments Posted (recovered to date); narrative insights (scope, worked vs pending, Closed paid rate, Non-Responder, Denied incl. Non-Collectible, overall realization rate) and definitions note. Dashboard 'View Full Report' opens it. Unit-tested.</t>
  </si>
  <si>
    <t>Row 78 · M22 · P4</t>
  </si>
  <si>
    <t>Built inside the AR Workbench (decision 10/07/2026; the Denial Workflow's own dbo.DenialReportCatalog is left unchanged). Reports page lists RPT-01..09 and where each lives on the ARWB event tables: RPT-01 Audit Logs, RPT-02 Agent Productivity, RPT-03 Assignment workload, RPT-05 Follow-Up Management, RPT-06 Recovery Trend, RPT-07 / RPT-09 Operational SLA, RPT-08 AR Collections / Recovery Performance. Unblocked: RPT-04 Action Completion (reports/action-completion, date range: each follow-up action with completed by / on and its QA verification, plus automatic adjustments, approved write-offs and PMS postings; 5,000-row cap) and RPT-09 Operational SLA (reports/operational-sla, date range: assignment -&gt; first follow-up, follow-up by scheduled date, QA decision, CIP approval, client response, response review; met / breached / open on track / open overdue, % met, avg days). SLA targets in ARWB_AppSetting (Sla*Days, seeded in 03 seed + merged script), edited on Master Values &gt; Operational SLA Targets (GET/PUT settings/sla); DRAFT targets 3 / 0 / 2 / 2 / 7 / 2 calendar days, labelled as drafts on the report until 'Targets confirmed' is ticked. Both reports internal only (refused for viewers), Excel export with period. Rules unit-tested. Open: confirm the SLA targets; targets are not versioned (current targets apply to the whole period).</t>
  </si>
  <si>
    <t>M27</t>
  </si>
  <si>
    <t>P1–P4</t>
  </si>
  <si>
    <t>Row 79 · M23 · P5</t>
  </si>
  <si>
    <t>Not Started</t>
  </si>
  <si>
    <t>Row 80 · M23 · P5</t>
  </si>
  <si>
    <t>T055–T058</t>
  </si>
  <si>
    <t>Row 81 · M23 · P5</t>
  </si>
  <si>
    <t>T061–T066</t>
  </si>
  <si>
    <t>Row 82 · M23 · P5</t>
  </si>
  <si>
    <t>T076–T079</t>
  </si>
  <si>
    <t>Row 83 · M23 · P5</t>
  </si>
  <si>
    <t>10/16/2026: AR_Workbench_Test_Report_2026-10-15 retest round - fixes and changes listed as T083-T100 (M29) below. UAT sign-off still open.</t>
  </si>
  <si>
    <t>M29</t>
  </si>
  <si>
    <t>UAT Fixes &amp; Enhancements</t>
  </si>
  <si>
    <t>T083</t>
  </si>
  <si>
    <t>Fees Schedule Import under Master Values (HCPCS + Rate, mandatory columns)</t>
  </si>
  <si>
    <t>New (10/16/2026)</t>
  </si>
  <si>
    <t>Added 10/16/2026 - change requested during UAT</t>
  </si>
  <si>
    <t>LabMetricsDashboard &gt; Master Values &gt; Fees Schedule Import (FeeScheduleController, admins only): imports .xls / .xlsx / .csv, header row found automatically, HCPCS/CPT + Rate/Fee columns, one rate per HCPCS (row without modifier preferred), invalid rows reported, whole table replaced in one transaction; searchable list and Excel download. Table LRNMaster.dbo.FeeSchedule + menu item (Database/LabMetricsDashboard/FeeSchedule_Setup.sql). CMS ClinicalLaboratoryFeeSchedule_2026_Q1V1.xls loads 2,038 HCPCS. Unit-tested (FeeScheduleWorkbookTests).</t>
  </si>
  <si>
    <t>T084</t>
  </si>
  <si>
    <t>Claim Revenue Expectation priced from the fee schedule on the denied line-item CPTs</t>
  </si>
  <si>
    <t>Each sync copies LRNMaster.FeeSchedule into the lab's ARWB_CptFeeSchedule (only when rates changed) and re-prices lines (ARWB_usp_PriceClaimLines): Master File Processor and Data Processing &gt; Run. Revenue Expectation = sum of the fee rate of the claim's denied CPTs; new ARWB_ClaimDeniedCpt keeps a CPT once denied so a line that moves Denied -&gt; Paid still counts. A claim that never had a denied line is priced on all lines. CPT tab shows Fee Rate / Rev. Expectation per line.</t>
  </si>
  <si>
    <t>T085</t>
  </si>
  <si>
    <t>Claim Recovery Status: Fully Recovered when total paid &gt;= Revenue Expectation (DEF-20)</t>
  </si>
  <si>
    <t>ARWB_usp_RecalculateClaimState: Paid = insurance + patient payment. Fully Recovered (Revenue Expectation &gt; 0 and Paid &gt;= it), Partially Recovered (some paid), In Progress (nothing paid), No Recovery (nothing paid, financially closed). Recovery Status on the claim, Work Queue column (hidden by default) and Excel export; nullified balance shown as $0 with tooltip.</t>
  </si>
  <si>
    <t>T086</t>
  </si>
  <si>
    <t>Master File Processor: AR Workbench denial copy / sync only for labs with ArWorkbenchEnabled = true</t>
  </si>
  <si>
    <t>Step 87 (denial copy, Denied -&gt; Paid status changes, recovery recalculation) runs only when the lab config key "ArWorkbenchEnabled": true is set (appsettings.json; Inhealth_DTR / LabId 2 enabled). Labs without AR Workbench tables are skipped with a file-log line instead of failing the run.</t>
  </si>
  <si>
    <t>T087</t>
  </si>
  <si>
    <t>DEF-15 (Critical): client / clinic viewers see no internal notes on a claim</t>
  </si>
  <si>
    <t>Added 10/16/2026 from AR_Workbench_Test_Report_2026-10-15.xlsx</t>
  </si>
  <si>
    <t>ArWorkbenchClientVisibility: viewer role (never a site admin) gets the claim without follow-ups, activity, QA review, CIP cases, agent requests or QA / assignment / resolution columns - enforced in the API; the claim screen hides those tabs. Unit-tested.</t>
  </si>
  <si>
    <t>T088</t>
  </si>
  <si>
    <t>DEF-16: QA Reviewers kept out of restricted queues</t>
  </si>
  <si>
    <t>RestrictedQueueScope applied to queue summary, claim list, filter options and claim detail; a restricted claim the reviewer has a QA review on stays reachable.</t>
  </si>
  <si>
    <t>T089</t>
  </si>
  <si>
    <t>DEF-01 / DEF-02: dashboard shows this week's uploaded insights; blank denial descriptions filled</t>
  </si>
  <si>
    <t>Dashboard uses the current week's uploaded Key Observations with live open claims / balance (falls back to system insights; source shown in the subtitle). Blank descriptions filled from the Denial Code Master on dashboard and insights endpoints.</t>
  </si>
  <si>
    <t>T090</t>
  </si>
  <si>
    <t>DEF-03 / DEF-04: claim Denial tab fallback and CPT tab detail</t>
  </si>
  <si>
    <t>Denial tab falls back to reason and code list; CPT tab expands per line / Expand all, Fee Rate and Rev. Expectation columns, * marks lines counted in Revenue Expectation.</t>
  </si>
  <si>
    <t>T091</t>
  </si>
  <si>
    <t>DEF-08: RCM Manager maintains the Non-Collectible and Auto-Adjust lists</t>
  </si>
  <si>
    <t>Managers can read master lists and edit only NON_COLLECTIBLE_CODE and AUTO_ADJUST_CODE (ArWorkbenchMasterRules.ManagerMaintainedTypes); Master Values menu shows managers those two lists. Unit-tested.</t>
  </si>
  <si>
    <t>T092</t>
  </si>
  <si>
    <t>DEF-10 / DEF-11 / DEF-12: Revenue Expectation naming, dashboard total, Recovered definition</t>
  </si>
  <si>
    <t>"Expected Payment" renamed "Revenue Expectation" on screens and exports; dashboard sums Revenue Expectation instead of initial AR; Analytics "Recovered" definition corrected.</t>
  </si>
  <si>
    <t>T093</t>
  </si>
  <si>
    <t>DEF-13 / DEF-14: claim Documents tab, category-required uploads and Document Vault</t>
  </si>
  <si>
    <t>POST/GET claims/{claimKey}/documents (category from DOCUMENT_CATEGORY, max 5 files, size / type from AttachmentMaxBytes / AttachmentAllowedTypes, scope-checked, HIPAA access log, activity row); Document Vault page (GET documents: search claim / visit, patient, file, description; client users see CIP responses only). | 10/19/2026: each upload now picks a Document Type from LRNMaster dbo.ARDocumentTypeMaster (new, LRNMaster_04_ARDocumentTypeMaster.sql; dropdown grouped by category) instead of the lab DOCUMENT_CATEGORY list; the types category is stored as DocumentCategory, plus DocumentTypeID/Code/Name on ARWB_Document; Description shown as optional Notes; GET document-types; Document Type column in the Documents tab / Vault.</t>
  </si>
  <si>
    <t>T094</t>
  </si>
  <si>
    <t>Follow-up popup: attach multiple documents, each with its own category and description</t>
  </si>
  <si>
    <t>Log Follow-Up Note &gt; Documents: Add documents (multi-select, up to 5), one row per file with Category (required) and Description (optional, 500 chars), remove per row; uploaded with the note and linked to it. Same editor on the claim Documents tab. New column ARWB_Document.Description (script 01); description shown in Documents tab / Vault and searchable.</t>
  </si>
  <si>
    <t>T095</t>
  </si>
  <si>
    <t>DEF-17: agent can Mark as Posted their own approved write-off</t>
  </si>
  <si>
    <t>MarkAdjustmentsPosted lets a user with EditClaim post approved write-offs assigned to them (GetAgentPostableWriteOffsAsync); button shown on the claim.</t>
  </si>
  <si>
    <t>T096</t>
  </si>
  <si>
    <t>OBS-01 / OBS-02 / OBS-07: Data Processing completion time, primary-denial filter, agent name</t>
  </si>
  <si>
    <t>Completion time falls back to the sync time; PrimaryDenialOnly filter used by dashboard / Data Processing drill-downs; assigned agent name falls back to the username.</t>
  </si>
  <si>
    <t>T097</t>
  </si>
  <si>
    <t>Work Queue defects DEF-05 / DEF-06 / DEF-19</t>
  </si>
  <si>
    <t>Deferred on 10/16/2026 - Work Queue related, left out of this fix round on request.</t>
  </si>
  <si>
    <t>T098</t>
  </si>
  <si>
    <t>Decisions needed: DEF-07, DEF-09, DEF-18, OBS-08</t>
  </si>
  <si>
    <t>Pending</t>
  </si>
  <si>
    <t>DEF-07 two conflicting Non-Collectible lists; DEF-09 categorization deferred; DEF-18 Clinic Viewer response (deliberate T066 design); OBS-08 CR prefix. Waiting on a business decision.</t>
  </si>
  <si>
    <t>T099</t>
  </si>
  <si>
    <t>Master File Processor: NorthWest line level split across several sheets (Webpm Linelevel 2025 / 2026 + Daq Line Level)</t>
  </si>
  <si>
    <t>LineLevelSheetResolver: "[system] Line Level [period]" sheets (period = year, range, Q1, Part 2, (2)) are all loaded and combined; Source = system name (Webpm / Daq), not the period. Any lab whose workbook splits the line level by period is picked up the same way.</t>
  </si>
  <si>
    <t>T100</t>
  </si>
  <si>
    <t>Deploy the 10/16 changes: SQL scripts, fee schedule import, lab config</t>
  </si>
  <si>
    <t>T083-T099</t>
  </si>
  <si>
    <t>Run FeeSchedule_Setup.sql on LRNMaster; run the regenerated 2_RUN_IN_EACH_LAB_DB_ARWB_Setup.sql in each AR Workbench lab DB; import the fee schedule; set "ArWorkbenchEnabled": true per AR Workbench lab; deploy Reports API + AR Workbench app together. | 10/19/2026: also run LRNMaster_04_ARDocumentTypeMaster.sql (LRNMaster) and re-run LabDatabase 01_ARWB_Tables.sql in each lab (adds ARWB_Document.DocumentTypeID/Code/Name) before deploying the document-type upload change.</t>
  </si>
  <si>
    <t>Row 84 · M23 · P5</t>
  </si>
  <si>
    <t>M28</t>
  </si>
  <si>
    <t>T080, T081</t>
  </si>
  <si>
    <t>Row 85 · M23 · P5</t>
  </si>
  <si>
    <t>Module ID was M23 (shared with Testing); Go-Live is its own module.</t>
  </si>
  <si>
    <t>Legend</t>
  </si>
  <si>
    <t>Yellow rows — task moved from its place on the Plan sheet (reason in the last column). Red reasons — duplicate or suspect task to resolve.</t>
  </si>
  <si>
    <t>Dates are formulas: steps run one after another in working days (WORKDAY, weekends skipped, no holidays), each step lasting its estimated days rounded up. The Plan sheet's dates carried extra buffer per module, so these dates are the estimate-only schedule.</t>
  </si>
  <si>
    <t>Phase changes: T049–T052 (roles, permissions, view-only access) P2 → P1. Every other task keeps its original phase.</t>
  </si>
  <si>
    <t>Total</t>
  </si>
  <si>
    <t>% Complete</t>
  </si>
  <si>
    <t>All</t>
  </si>
  <si>
    <t>Completed = built in the AR Workbench (SQL + API + screen) and buildable; it is not UAT sign-off. In Progress = partly built (e.g. SQL ready, no screen or job yet). Not Started = nothing built. Pending = waiting on a business decision. Status column is a dropdown; the summary above recounts from it.</t>
  </si>
  <si>
    <t>Workflow Status</t>
  </si>
  <si>
    <t>Subqueue</t>
  </si>
  <si>
    <t>Closed</t>
  </si>
  <si>
    <t>Non Responded AR</t>
  </si>
  <si>
    <t>Denied</t>
  </si>
  <si>
    <t>Partially Paid</t>
  </si>
  <si>
    <t>Patient AR</t>
  </si>
  <si>
    <t>Partially Adjusted</t>
  </si>
  <si>
    <t>Client Escalation Pending</t>
  </si>
  <si>
    <t>Pending Approval, Sent to Client, Client Responded, Returned to Agent</t>
  </si>
  <si>
    <t>CIP Response Received</t>
  </si>
  <si>
    <t>ReFollow-up Required</t>
  </si>
  <si>
    <t>Submitted for QA</t>
  </si>
  <si>
    <t>QA Rejected</t>
  </si>
  <si>
    <t>T101</t>
  </si>
  <si>
    <t>DEF-22: Recovery Status In Progress only when insurance payment, patient payment and patient balance are all 0 (Patient AR claims)</t>
  </si>
  <si>
    <t>New (10/21/2026)</t>
  </si>
  <si>
    <t>Added 10/21/2026 from AR_Workbench_Retest_Report_v1.4_2026-10-19.xlsx</t>
  </si>
  <si>
    <t>T102</t>
  </si>
  <si>
    <t>DEF-23: Dashboard Control Plan widget (Open / In Progress / Closed by classification and action) and SLA / Appeal Success Rate tiles</t>
  </si>
  <si>
    <t>T103</t>
  </si>
  <si>
    <t>DEF-24: Work Queue More filters (Claim Status, Rendering Provider, Fix/Resolution, CPT, Insurance Balance range, Next Follow-Up range)</t>
  </si>
  <si>
    <t>T104</t>
  </si>
  <si>
    <t>DEF-25: Create Assignment Batch - Action / Task filter</t>
  </si>
  <si>
    <t>T105</t>
  </si>
  <si>
    <t>DEF-26: My Work tiles Approved Write-Offs - Pending Posting and New Denials</t>
  </si>
  <si>
    <t>T106</t>
  </si>
  <si>
    <t>DEF-27: Analytics breakdown by escalation and reassignment reason category</t>
  </si>
  <si>
    <t>T107</t>
  </si>
  <si>
    <t>DEF-28: Workbench Lists CSV template download / upload (bulk replace)</t>
  </si>
  <si>
    <t>T108</t>
  </si>
  <si>
    <t>DEF-29: Account Manager / Client export of claim line items and status (read-only, scoped)</t>
  </si>
  <si>
    <t>T109</t>
  </si>
  <si>
    <t>DEF-30: Shared grid - ineligible rows get no checkbox (QA own work); page sizes 10 / 25 / 50 / 100</t>
  </si>
  <si>
    <t>T110</t>
  </si>
  <si>
    <t>DEF-31: Client Management per-client configuration (SharePoint source folder, onboarding status, primary account manager)</t>
  </si>
  <si>
    <t>T111</t>
  </si>
  <si>
    <t>Deploy the 10/21 retest fixes (SQL scripts, Reports API, AR Workbench app)</t>
  </si>
  <si>
    <t>T101-T110</t>
  </si>
  <si>
    <t>04_ARWB_ClaimState_Procedure.sql (ARWB_usp_RecalculateClaimState): In Progress / No Recovery now test insurance payment + patient payment + patient balance (section 7), so a Patient AR claim with only a patient balance is Partially Recovered. Fully Recovered still needs insurance + patient payment &gt;= Revenue Expectation (T085). Existing claims: EXEC dbo.ARWB_usp_RecalculateClaimState once after deploy.</t>
  </si>
  <si>
    <t>DataTable: isRowSelectable eligibility predicate - an ineligible row renders no checkbox and is left out of the header select-all (FR-UI-01). Used by QA (own work / decided), CIP Escalations (only Pending Approval / Client Responded) and Requests (only Pending). Page sizes 10 / 25 / 50 / 100 per FR-UI-01, plus 500 / 1,000 kept from the 10/08 change.</t>
  </si>
  <si>
    <t>GET work-summary adds PendingPosting (queue Auto Adjustments &gt; Approved Write-Offs - Pending Posting) and NewDenials (NewDenialSinceWork = 1: worked claim with a new denial on a sync, not re-worked yet). My Work tiles 'Approved Write-Offs - Pending Posting' (queue=autoadj|autoadj_writeoff) and 'New Denials' (new claims filter newDenialOnly).</t>
  </si>
  <si>
    <t>Work Queue 'More filters' panel (opens by itself when one is set; URL-backed, so saved views / links keep them; removable chips): Claim Status (ingested), Rendering Provider (ARWB_Claim.BillingProvider = rendering physician), Fix / Resolution, CPT code contains (any billed line), Ins. Balance &gt;= / &lt;= (balance as shown, RemainingAR), Next Follow-Up From / To. New ArWorkbenchClaimFilter fields RenderingProvider, CptCode, Min/MaxInsuranceBalance, NextFollowUpFrom/To (also apply to exports and Bulk Update templates); filter options add renderingProviders.</t>
  </si>
  <si>
    <t>Create Assignment Batch: 'Action / Task' criterion = fix / resolution of the claim's last follow-up note (decision 10/21/2026), with counts over the unassigned pool and a '(No action yet)' option for never-worked claims. ArWorkbenchBatchCriteria.Action -&gt; pool filter FixResolution; shown in the batch criteria summary. Unit-tested.</t>
  </si>
  <si>
    <t>Analytics &gt; Follow-Up Comments Breakdown: new tabs 'By Escalation Reason' and 'By Reassignment Reason' (ARWB_AgentRequest.ReasonCategory per request type): # requests, # claims, outstanding balance (each claim once); exportable. Internal only - empty from the API and hidden for client / clinic / provider viewers.</t>
  </si>
  <si>
    <t>Master Values &gt; Workbench Lists: Download Template (CSV) = the list as it stands (Value, Sort Order, Active); Upload Template (CSV) replaces the list in one transaction - new values added, sort / active updated, values left out of the file deactivated (never deleted: records store the text); System values stay active; the list keeps one active value; one bad row rejects the file with every row error listed. GET/POST masters/{type}/template, same access as the list (admin; RCM Manager for NC / Auto-Adjust). ArWorkbenchMasterListCsv unit-tested.</t>
  </si>
  <si>
    <t>Reports &gt; 'Claims &amp; Line Items' card for every role incl. Client / Clinic / Provider Viewers (Account Manager): background Excel of every claim in the caller's scope - Claims sheet (client users without the internal columns, as before) plus a new 'Line Items' sheet, one row per CPT line (units, charge, allowed, payment, adjustments, balances, Revenue Expectation, line status, pay status, line denial code / date). POST exports/claims?includeLines=true; read-only, no upload. Unit-tested.</t>
  </si>
  <si>
    <t>Client Management card shows Onboarding status (Not Started / Onboarding / Live / On Hold), Primary account manager and SharePoint source folder; Edit Configuration (admins) saves them via PUT clients/{labId}/config. LRNMaster_03 adds ARWB_ClientSetting.SharePointFolder / OnboardingStatus / AccountManager / ConfigUpdatedBy / ConfigUpdatedOn (and the history columns) idempotently; every change is written to ARWB_ClientSettingHistory. Until the script is re-run the card reads them as Not set and Save explains what to run.</t>
  </si>
  <si>
    <t>Dashboard: Control Plan card (GET dashboard/control-plan, loaded after the main dashboard) - claims and outstanding $ split Open (unassigned) / In Progress (with an agent) / Closed (financially closed or completed), toggle By Classification (central Denial Code Master classification of the primary code) / By Action / Task (last fix / resolution; rows open their claims in the Work Queue). Tiles SLA Attainment (Operational SLA milestones, last 30 days, Met / (Met + Breached + Overdue)) and Appeal Success Rate (appealed claims paid on / after the first appeal / decided). Client users get the classification view only. Per-action SLA targets for Appeals / Rebills / Write-offs still wait for D-11. Unit-tested.</t>
  </si>
  <si>
    <t>1) LRNMaster: run the regenerated 1_RUN_IN_LRNMASTER_ARWB_Setup.sql (adds ARWB_ClientSetting configuration columns, DEF-31). 2) Each AR Workbench lab DB: run the regenerated 2_RUN_IN_EACH_LAB_DB_ARWB_Setup.sql (Recovery Status rule, DEF-22), then EXEC dbo.ARWB_usp_RecalculateClaimState; once to restate Recovery Status on existing claims. 3) Deploy LRN.ReportsApi and the AR Workbench app together (new endpoints: dashboard/control-plan, masters/{type}/template, clients/{id}/config, exports/claims?includeLines).</t>
  </si>
  <si>
    <t>AR Workbench build status — as of 10/21/2026 (UAT fixes &amp; enhancements added as T083-T111, module M29)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</si>
</sst>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Calibri"/>
      <family val="2"/>
    </font>
    <font>
      <b/>
      <sz val="11"/>
      <color theme="1"/>
      <name val="Calibri"/>
      <family val="2"/>
    </font>
    <font>
      <sz val="11"/>
      <color theme="1"/>
      <name val="Aptos Narrow"/>
      <family val="2"/>
      <scheme val="minor"/>
    </font>
    <font>
      <b/>
      <sz val="11"/>
      <color theme="1"/>
      <name val="Aptos Narrow"/>
      <family val="2"/>
      <scheme val="minor"/>
    </font>
    <font>
      <sz val="11"/>
      <name val="Calibri"/>
      <family val="2"/>
    </font>
    <font>
      <b/>
      <sz val="11"/>
      <color rgb="FF0F6E6A"/>
      <name val="Calibri"/>
      <family val="2"/>
    </font>
    <font>
      <i/>
      <sz val="11"/>
      <color rgb="FF4C5B66"/>
      <name val="Calibri"/>
      <family val="2"/>
    </font>
    <font>
      <b/>
      <sz val="11"/>
      <color rgb="FFFFFFFF"/>
      <name val="Calibri"/>
      <family val="2"/>
    </font>
    <font>
      <b/>
      <sz val="11"/>
      <name val="Aptos Narrow"/>
      <family val="2"/>
      <scheme val="minor"/>
    </font>
    <font>
      <sz val="11"/>
      <name val="Aptos Narrow"/>
      <family val="2"/>
      <scheme val="minor"/>
    </font>
    <font>
      <b/>
      <sz val="10"/>
      <color theme="1"/>
      <name val="Aptos Narrow"/>
      <family val="2"/>
      <scheme val="minor"/>
    </font>
    <font>
      <sz val="10"/>
      <color theme="1"/>
      <name val="Aptos Narrow"/>
      <family val="2"/>
      <scheme val="minor"/>
    </font>
    <font>
      <sz val="10"/>
      <name val="Aptos Narrow"/>
      <family val="2"/>
      <scheme val="minor"/>
    </font>
    <font>
      <i/>
      <sz val="9"/>
      <name val="Aptos Narrow"/>
      <family val="2"/>
      <scheme val="minor"/>
    </font>
    <font>
      <i/>
      <sz val="11"/>
      <name val="Aptos Narrow"/>
      <family val="2"/>
      <scheme val="minor"/>
    </font>
    <font>
      <b/>
      <sz val="14"/>
      <name val="Aptos Narrow"/>
    </font>
    <font>
      <sz val="10"/>
      <name val="Aptos Narrow"/>
    </font>
    <font>
      <b/>
      <sz val="10"/>
      <name val="Aptos Narrow"/>
    </font>
    <font>
      <b/>
      <sz val="10"/>
      <color rgb="FF0000FF"/>
      <name val="Aptos Narrow"/>
    </font>
    <font>
      <b/>
      <sz val="10"/>
      <color rgb="FFC00000"/>
      <name val="Aptos Narrow"/>
    </font>
    <font>
      <b/>
      <sz val="12"/>
      <name val="Aptos Narrow"/>
    </font>
    <font>
      <i/>
      <sz val="10"/>
      <name val="Aptos Narrow"/>
    </font>
  </fonts>
  <fills count="10">
    <fill>
      <patternFill patternType="none"/>
    </fill>
    <fill>
      <patternFill patternType="gray125"/>
    </fill>
    <fill>
      <patternFill patternType="solid">
        <fgColor theme="4" tint="0.79998168889431442"/>
        <bgColor indexed="64"/>
      </patternFill>
    </fill>
    <fill>
      <patternFill patternType="solid">
        <fgColor rgb="FF0F6E6A"/>
        <bgColor rgb="FF008080"/>
      </patternFill>
    </fill>
    <fill>
      <patternFill patternType="solid">
        <fgColor rgb="FFF2F2F2"/>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EDE7F6"/>
      </patternFill>
    </fill>
  </fills>
  <borders count="3">
    <border>
      <left/>
      <right/>
      <top/>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s>
  <cellStyleXfs count="1">
    <xf numFmtId="0" fontId="0" fillId="0" borderId="0"/>
  </cellStyleXfs>
  <cellXfs count="76">
    <xf numFmtId="0" fontId="0" fillId="0" borderId="0" xfId="0"/>
    <xf numFmtId="0" fontId="1" fillId="0" borderId="0" xfId="0" applyFont="1"/>
    <xf numFmtId="0" fontId="1" fillId="0" borderId="1" xfId="0" applyFont="1" applyBorder="1"/>
    <xf numFmtId="0" fontId="1" fillId="0" borderId="1" xfId="0" applyFont="1" applyBorder="1" applyAlignment="1">
      <alignment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6" fillId="0" borderId="0" xfId="0" applyFont="1"/>
    <xf numFmtId="0" fontId="8" fillId="3" borderId="1" xfId="0" applyFont="1" applyFill="1" applyBorder="1" applyAlignment="1">
      <alignment horizontal="center" vertical="top" wrapText="1"/>
    </xf>
    <xf numFmtId="0" fontId="5" fillId="0" borderId="1" xfId="0" applyFont="1" applyBorder="1" applyAlignment="1">
      <alignment vertical="center" wrapText="1"/>
    </xf>
    <xf numFmtId="0" fontId="1" fillId="0" borderId="1" xfId="0" applyFont="1" applyBorder="1" applyAlignment="1">
      <alignment vertical="center"/>
    </xf>
    <xf numFmtId="0" fontId="5" fillId="0" borderId="1" xfId="0" applyFont="1" applyBorder="1" applyAlignment="1">
      <alignment horizontal="center" vertical="center" wrapText="1"/>
    </xf>
    <xf numFmtId="0" fontId="2" fillId="0" borderId="1" xfId="0" applyFont="1" applyBorder="1" applyAlignment="1">
      <alignment vertical="center"/>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2" fillId="0" borderId="0" xfId="0" applyFont="1"/>
    <xf numFmtId="0" fontId="11" fillId="0" borderId="1" xfId="0" applyFont="1" applyBorder="1" applyAlignment="1">
      <alignment horizontal="center" vertical="center"/>
    </xf>
    <xf numFmtId="0" fontId="13" fillId="0" borderId="1" xfId="0" applyFont="1" applyBorder="1" applyAlignment="1">
      <alignment horizontal="left" vertical="center" wrapText="1"/>
    </xf>
    <xf numFmtId="0" fontId="11" fillId="0" borderId="0" xfId="0" applyFont="1"/>
    <xf numFmtId="0" fontId="12" fillId="0" borderId="1" xfId="0" applyFont="1" applyBorder="1" applyAlignment="1">
      <alignment horizontal="left" vertical="center" wrapText="1"/>
    </xf>
    <xf numFmtId="0" fontId="12" fillId="0" borderId="1" xfId="0" applyFont="1" applyBorder="1" applyAlignment="1">
      <alignment wrapText="1"/>
    </xf>
    <xf numFmtId="0" fontId="12" fillId="0" borderId="1" xfId="0" applyFont="1" applyBorder="1" applyAlignment="1">
      <alignment horizontal="center" vertical="center"/>
    </xf>
    <xf numFmtId="0" fontId="12" fillId="0" borderId="1" xfId="0" applyFont="1" applyBorder="1"/>
    <xf numFmtId="0" fontId="12" fillId="0" borderId="1" xfId="0" applyFont="1" applyBorder="1" applyAlignment="1">
      <alignment horizontal="left" wrapText="1"/>
    </xf>
    <xf numFmtId="0" fontId="12" fillId="0" borderId="0" xfId="0" applyFont="1" applyAlignment="1">
      <alignment horizontal="left" wrapText="1"/>
    </xf>
    <xf numFmtId="0" fontId="12" fillId="0" borderId="0" xfId="0" applyFont="1" applyAlignment="1">
      <alignment wrapText="1"/>
    </xf>
    <xf numFmtId="0" fontId="10" fillId="0" borderId="1" xfId="0" applyFont="1" applyBorder="1" applyAlignment="1">
      <alignment vertical="top" wrapText="1"/>
    </xf>
    <xf numFmtId="0" fontId="14" fillId="0" borderId="1" xfId="0" applyFont="1" applyBorder="1" applyAlignment="1">
      <alignment vertical="top" wrapText="1"/>
    </xf>
    <xf numFmtId="0" fontId="11" fillId="0" borderId="1" xfId="0" applyFont="1" applyBorder="1"/>
    <xf numFmtId="0" fontId="12" fillId="0" borderId="1" xfId="0" applyFont="1" applyBorder="1" applyAlignment="1">
      <alignment horizontal="center"/>
    </xf>
    <xf numFmtId="0" fontId="9" fillId="0" borderId="2" xfId="0" applyFont="1" applyBorder="1" applyAlignment="1">
      <alignment horizontal="center" vertical="center" wrapText="1"/>
    </xf>
    <xf numFmtId="0" fontId="3" fillId="0" borderId="2" xfId="0" applyFont="1" applyBorder="1" applyAlignment="1">
      <alignment horizontal="center" vertical="center"/>
    </xf>
    <xf numFmtId="0" fontId="4" fillId="0" borderId="2" xfId="0" applyFont="1" applyBorder="1" applyAlignment="1">
      <alignment horizontal="center" vertical="center"/>
    </xf>
    <xf numFmtId="0" fontId="10" fillId="0" borderId="1" xfId="0" applyFont="1" applyBorder="1" applyAlignment="1">
      <alignment horizontal="left" vertical="center" wrapText="1"/>
    </xf>
    <xf numFmtId="0" fontId="15" fillId="0" borderId="1" xfId="0" applyFont="1" applyBorder="1" applyAlignment="1">
      <alignment vertical="top" wrapText="1"/>
    </xf>
    <xf numFmtId="14" fontId="11" fillId="0" borderId="1" xfId="0" applyNumberFormat="1" applyFont="1" applyBorder="1" applyAlignment="1">
      <alignment horizontal="center" vertical="center"/>
    </xf>
    <xf numFmtId="0" fontId="12" fillId="0" borderId="0" xfId="0" applyFont="1" applyAlignment="1">
      <alignment horizontal="center"/>
    </xf>
    <xf numFmtId="14" fontId="12" fillId="0" borderId="1" xfId="0" applyNumberFormat="1" applyFont="1" applyBorder="1" applyAlignment="1">
      <alignment horizontal="center" vertical="center"/>
    </xf>
    <xf numFmtId="14" fontId="12" fillId="0" borderId="1" xfId="0" applyNumberFormat="1" applyFont="1" applyBorder="1"/>
    <xf numFmtId="0" fontId="4" fillId="0" borderId="1" xfId="0" applyFont="1" applyBorder="1"/>
    <xf numFmtId="0" fontId="0" fillId="0" borderId="1" xfId="0" applyBorder="1"/>
    <xf numFmtId="0" fontId="4" fillId="0" borderId="0" xfId="0" applyFont="1" applyAlignment="1">
      <alignment vertical="center" wrapText="1"/>
    </xf>
    <xf numFmtId="0" fontId="12" fillId="0" borderId="1" xfId="0" applyFont="1" applyBorder="1" applyAlignment="1">
      <alignment horizontal="center" vertical="center" wrapText="1"/>
    </xf>
    <xf numFmtId="0" fontId="10" fillId="0" borderId="1" xfId="0" applyFont="1" applyBorder="1" applyAlignment="1">
      <alignment horizontal="center" vertical="top" wrapText="1"/>
    </xf>
    <xf numFmtId="14" fontId="11" fillId="0" borderId="1" xfId="0" applyNumberFormat="1" applyFont="1" applyBorder="1"/>
    <xf numFmtId="14" fontId="0" fillId="0" borderId="0" xfId="0" applyNumberFormat="1"/>
    <xf numFmtId="0" fontId="16" fillId="0" borderId="0" xfId="0" applyFont="1"/>
    <xf numFmtId="0" fontId="18" fillId="0" borderId="0" xfId="0" applyFont="1"/>
    <xf numFmtId="14" fontId="19" fillId="0" borderId="0" xfId="0" applyNumberFormat="1" applyFont="1" applyAlignment="1">
      <alignment horizontal="left"/>
    </xf>
    <xf numFmtId="0" fontId="18" fillId="0" borderId="0" xfId="0" applyFont="1" applyAlignment="1">
      <alignment horizontal="center"/>
    </xf>
    <xf numFmtId="14" fontId="18" fillId="0" borderId="0" xfId="0" applyNumberFormat="1" applyFont="1"/>
    <xf numFmtId="0" fontId="17" fillId="0" borderId="1" xfId="0" applyFont="1" applyBorder="1" applyAlignment="1">
      <alignment horizontal="center" vertical="center"/>
    </xf>
    <xf numFmtId="0" fontId="17" fillId="0" borderId="1" xfId="0" applyFont="1" applyBorder="1" applyAlignment="1">
      <alignment horizontal="left" vertical="center" wrapText="1"/>
    </xf>
    <xf numFmtId="0" fontId="17" fillId="4" borderId="1" xfId="0" applyFont="1" applyFill="1" applyBorder="1" applyAlignment="1">
      <alignment horizontal="center" vertical="center"/>
    </xf>
    <xf numFmtId="14" fontId="17" fillId="0" borderId="1" xfId="0" applyNumberFormat="1" applyFont="1" applyBorder="1" applyAlignment="1">
      <alignment horizontal="center" vertical="center"/>
    </xf>
    <xf numFmtId="0" fontId="17" fillId="6" borderId="1" xfId="0" applyFont="1" applyFill="1" applyBorder="1" applyAlignment="1">
      <alignment horizontal="center" vertical="center"/>
    </xf>
    <xf numFmtId="0" fontId="17" fillId="6" borderId="1" xfId="0" applyFont="1" applyFill="1" applyBorder="1" applyAlignment="1">
      <alignment horizontal="left" vertical="center" wrapText="1"/>
    </xf>
    <xf numFmtId="0" fontId="17" fillId="5" borderId="1" xfId="0" applyFont="1" applyFill="1" applyBorder="1" applyAlignment="1">
      <alignment horizontal="center" vertical="center"/>
    </xf>
    <xf numFmtId="0" fontId="20" fillId="0" borderId="1" xfId="0" applyFont="1" applyBorder="1" applyAlignment="1">
      <alignment horizontal="left" vertical="center" wrapText="1"/>
    </xf>
    <xf numFmtId="0" fontId="17" fillId="7" borderId="1" xfId="0" applyFont="1" applyFill="1" applyBorder="1" applyAlignment="1">
      <alignment horizontal="center" vertical="center"/>
    </xf>
    <xf numFmtId="0" fontId="17" fillId="8" borderId="1" xfId="0" applyFont="1" applyFill="1" applyBorder="1" applyAlignment="1">
      <alignment horizontal="center" vertical="center"/>
    </xf>
    <xf numFmtId="0" fontId="17" fillId="9" borderId="1" xfId="0" applyFont="1" applyFill="1" applyBorder="1" applyAlignment="1">
      <alignment horizontal="center" vertical="center"/>
    </xf>
    <xf numFmtId="0" fontId="18" fillId="0" borderId="1" xfId="0" applyFont="1" applyBorder="1" applyAlignment="1">
      <alignment horizontal="center" vertical="center"/>
    </xf>
    <xf numFmtId="0" fontId="17" fillId="0" borderId="1" xfId="0" applyFont="1" applyBorder="1" applyAlignment="1">
      <alignment vertical="center" wrapText="1"/>
    </xf>
    <xf numFmtId="0" fontId="21" fillId="0" borderId="0" xfId="0" applyFont="1"/>
    <xf numFmtId="0" fontId="11" fillId="2" borderId="1" xfId="0" applyFont="1" applyFill="1" applyBorder="1" applyAlignment="1">
      <alignment horizontal="center" wrapText="1"/>
    </xf>
    <xf numFmtId="0" fontId="17" fillId="0" borderId="1" xfId="0" applyFont="1" applyBorder="1" applyAlignment="1">
      <alignment horizontal="center"/>
    </xf>
    <xf numFmtId="0" fontId="18" fillId="0" borderId="1" xfId="0" applyFont="1" applyBorder="1" applyAlignment="1">
      <alignment horizontal="center"/>
    </xf>
    <xf numFmtId="9" fontId="17" fillId="0" borderId="1" xfId="0" applyNumberFormat="1" applyFont="1" applyBorder="1" applyAlignment="1">
      <alignment horizontal="center"/>
    </xf>
    <xf numFmtId="0" fontId="7" fillId="0" borderId="0" xfId="0" applyFont="1" applyAlignment="1">
      <alignment vertical="top" wrapText="1"/>
    </xf>
    <xf numFmtId="0" fontId="1" fillId="0" borderId="0" xfId="0" applyFont="1"/>
    <xf numFmtId="0" fontId="22" fillId="0" borderId="0" xfId="0" applyFont="1" applyAlignment="1">
      <alignment vertical="top" wrapText="1"/>
    </xf>
    <xf numFmtId="0" fontId="0" fillId="0" borderId="0" xfId="0"/>
    <xf numFmtId="0" fontId="17" fillId="0" borderId="0" xfId="0" applyFont="1" applyAlignment="1">
      <alignment vertical="top" wrapText="1"/>
    </xf>
    <xf numFmtId="0" fontId="18" fillId="0" borderId="0" xfId="0" applyFont="1" applyAlignment="1">
      <alignment vertical="top" wrapText="1"/>
    </xf>
    <xf numFmtId="0" fontId="18" fillId="0" borderId="0" xfId="0" applyFont="1"/>
  </cellXfs>
  <cellStyles count="1">
    <cellStyle name="Normal" xfId="0" builtinId="0"/>
  </cellStyles>
  <dxfs count="4">
    <dxf>
      <font>
        <b/>
        <color rgb="FF9C0006"/>
      </font>
      <fill>
        <patternFill patternType="solid">
          <fgColor rgb="FFFFC7CE"/>
        </patternFill>
      </fill>
    </dxf>
    <dxf>
      <font>
        <b/>
        <color rgb="FF595959"/>
      </font>
      <fill>
        <patternFill patternType="solid">
          <fgColor rgb="FFF2F2F2"/>
        </patternFill>
      </fill>
    </dxf>
    <dxf>
      <font>
        <b/>
        <color rgb="FF9C5700"/>
      </font>
      <fill>
        <patternFill patternType="solid">
          <fgColor rgb="FFFFEB9C"/>
        </patternFill>
      </fill>
    </dxf>
    <dxf>
      <font>
        <b/>
        <color rgb="FF006100"/>
      </font>
      <fill>
        <patternFill patternType="solid">
          <f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9:I23"/>
  <sheetViews>
    <sheetView showGridLines="0" topLeftCell="B1" workbookViewId="0">
      <selection activeCell="E19" sqref="E19"/>
    </sheetView>
  </sheetViews>
  <sheetFormatPr defaultRowHeight="14.4" x14ac:dyDescent="0.3"/>
  <cols>
    <col min="5" max="5" width="41.5546875" customWidth="1"/>
  </cols>
  <sheetData>
    <row r="19" spans="6:9" x14ac:dyDescent="0.3">
      <c r="F19" s="41"/>
      <c r="G19" s="41"/>
      <c r="H19" s="41"/>
      <c r="I19" s="41"/>
    </row>
    <row r="20" spans="6:9" x14ac:dyDescent="0.3">
      <c r="F20" s="41"/>
      <c r="G20" s="41"/>
      <c r="H20" s="41"/>
      <c r="I20" s="41"/>
    </row>
    <row r="21" spans="6:9" x14ac:dyDescent="0.3">
      <c r="F21" s="41"/>
      <c r="G21" s="41"/>
      <c r="H21" s="41"/>
      <c r="I21" s="41"/>
    </row>
    <row r="22" spans="6:9" x14ac:dyDescent="0.3">
      <c r="F22" s="41"/>
      <c r="G22" s="41"/>
      <c r="H22" s="41"/>
      <c r="I22" s="41"/>
    </row>
    <row r="23" spans="6:9" x14ac:dyDescent="0.3">
      <c r="F23" s="41"/>
      <c r="G23" s="41"/>
      <c r="H23" s="41"/>
      <c r="I23" s="4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showGridLines="0" topLeftCell="A16" workbookViewId="0">
      <selection activeCell="B4" sqref="B4"/>
    </sheetView>
  </sheetViews>
  <sheetFormatPr defaultColWidth="8.6640625" defaultRowHeight="14.4" x14ac:dyDescent="0.3"/>
  <cols>
    <col min="1" max="1" width="7" style="1" customWidth="1"/>
    <col min="2" max="2" width="70" style="1" customWidth="1"/>
    <col min="3" max="3" width="28" style="1" customWidth="1"/>
    <col min="4" max="4" width="50" style="1" customWidth="1"/>
    <col min="5" max="5" width="16" style="1" customWidth="1"/>
    <col min="6" max="6" width="30" style="1" customWidth="1"/>
    <col min="7" max="8" width="8.6640625" style="1" customWidth="1"/>
    <col min="9" max="16384" width="8.6640625" style="1"/>
  </cols>
  <sheetData>
    <row r="1" spans="1:6" x14ac:dyDescent="0.3">
      <c r="A1" s="7" t="s">
        <v>229</v>
      </c>
    </row>
    <row r="2" spans="1:6" ht="30" customHeight="1" x14ac:dyDescent="0.3">
      <c r="A2" s="69" t="s">
        <v>230</v>
      </c>
      <c r="B2" s="70"/>
      <c r="C2" s="70"/>
      <c r="D2" s="70"/>
      <c r="E2" s="70"/>
    </row>
    <row r="3" spans="1:6" x14ac:dyDescent="0.3">
      <c r="A3" s="8" t="s">
        <v>231</v>
      </c>
      <c r="B3" s="8" t="s">
        <v>232</v>
      </c>
      <c r="C3" s="8" t="s">
        <v>233</v>
      </c>
      <c r="D3" s="8" t="s">
        <v>234</v>
      </c>
      <c r="E3" s="8" t="s">
        <v>235</v>
      </c>
      <c r="F3" s="8" t="s">
        <v>236</v>
      </c>
    </row>
    <row r="4" spans="1:6" ht="72" customHeight="1" x14ac:dyDescent="0.3">
      <c r="A4" s="11" t="s">
        <v>237</v>
      </c>
      <c r="B4" s="6" t="s">
        <v>238</v>
      </c>
      <c r="C4" s="12"/>
      <c r="D4" s="6" t="s">
        <v>239</v>
      </c>
      <c r="E4" s="10"/>
      <c r="F4" s="5" t="s">
        <v>240</v>
      </c>
    </row>
    <row r="5" spans="1:6" ht="43.2" customHeight="1" x14ac:dyDescent="0.3">
      <c r="A5" s="11" t="s">
        <v>241</v>
      </c>
      <c r="B5" s="6" t="s">
        <v>242</v>
      </c>
      <c r="C5" s="12"/>
      <c r="D5" s="6"/>
      <c r="E5" s="10"/>
      <c r="F5" s="4"/>
    </row>
    <row r="6" spans="1:6" ht="28.95" customHeight="1" x14ac:dyDescent="0.3">
      <c r="A6" s="11" t="s">
        <v>243</v>
      </c>
      <c r="B6" s="6" t="s">
        <v>244</v>
      </c>
      <c r="C6" s="9" t="s">
        <v>245</v>
      </c>
      <c r="D6" s="9" t="s">
        <v>246</v>
      </c>
      <c r="E6" s="10"/>
      <c r="F6" s="4" t="s">
        <v>247</v>
      </c>
    </row>
    <row r="7" spans="1:6" ht="28.95" customHeight="1" x14ac:dyDescent="0.3">
      <c r="A7" s="11" t="s">
        <v>248</v>
      </c>
      <c r="B7" s="6" t="s">
        <v>249</v>
      </c>
      <c r="C7" s="12"/>
      <c r="D7" s="4"/>
      <c r="E7" s="10"/>
      <c r="F7" s="4"/>
    </row>
    <row r="8" spans="1:6" x14ac:dyDescent="0.3">
      <c r="A8" s="11" t="s">
        <v>250</v>
      </c>
      <c r="B8" s="6" t="s">
        <v>251</v>
      </c>
      <c r="C8" s="12"/>
      <c r="D8" s="4"/>
      <c r="E8" s="10"/>
      <c r="F8" s="4"/>
    </row>
    <row r="9" spans="1:6" x14ac:dyDescent="0.3">
      <c r="A9" s="11" t="s">
        <v>252</v>
      </c>
      <c r="B9" s="6" t="s">
        <v>253</v>
      </c>
      <c r="C9" s="12"/>
      <c r="D9" s="4"/>
      <c r="E9" s="10"/>
      <c r="F9" s="4"/>
    </row>
    <row r="10" spans="1:6" ht="28.95" customHeight="1" x14ac:dyDescent="0.3">
      <c r="A10" s="11" t="s">
        <v>254</v>
      </c>
      <c r="B10" s="9" t="s">
        <v>255</v>
      </c>
      <c r="C10" s="9" t="s">
        <v>256</v>
      </c>
      <c r="D10" s="9" t="s">
        <v>257</v>
      </c>
      <c r="E10" s="9" t="s">
        <v>258</v>
      </c>
      <c r="F10" s="9"/>
    </row>
    <row r="11" spans="1:6" ht="28.95" customHeight="1" x14ac:dyDescent="0.3">
      <c r="A11" s="11" t="s">
        <v>259</v>
      </c>
      <c r="B11" s="9" t="s">
        <v>260</v>
      </c>
      <c r="C11" s="9" t="s">
        <v>261</v>
      </c>
      <c r="D11" s="9" t="s">
        <v>262</v>
      </c>
      <c r="E11" s="9" t="s">
        <v>258</v>
      </c>
      <c r="F11" s="9"/>
    </row>
    <row r="12" spans="1:6" ht="28.95" customHeight="1" x14ac:dyDescent="0.3">
      <c r="A12" s="11" t="s">
        <v>263</v>
      </c>
      <c r="B12" s="9" t="s">
        <v>264</v>
      </c>
      <c r="C12" s="9" t="s">
        <v>265</v>
      </c>
      <c r="D12" s="9" t="s">
        <v>266</v>
      </c>
      <c r="E12" s="9" t="s">
        <v>258</v>
      </c>
      <c r="F12" s="9"/>
    </row>
    <row r="13" spans="1:6" ht="43.2" customHeight="1" x14ac:dyDescent="0.3">
      <c r="A13" s="11" t="s">
        <v>267</v>
      </c>
      <c r="B13" s="9" t="s">
        <v>268</v>
      </c>
      <c r="C13" s="9" t="s">
        <v>269</v>
      </c>
      <c r="D13" s="9" t="s">
        <v>270</v>
      </c>
      <c r="E13" s="9" t="s">
        <v>258</v>
      </c>
      <c r="F13" s="9"/>
    </row>
    <row r="14" spans="1:6" ht="28.95" customHeight="1" x14ac:dyDescent="0.3">
      <c r="A14" s="11" t="s">
        <v>271</v>
      </c>
      <c r="B14" s="9" t="s">
        <v>272</v>
      </c>
      <c r="C14" s="9" t="s">
        <v>273</v>
      </c>
      <c r="D14" s="9" t="s">
        <v>274</v>
      </c>
      <c r="E14" s="9" t="s">
        <v>258</v>
      </c>
      <c r="F14" s="9"/>
    </row>
    <row r="15" spans="1:6" ht="28.95" customHeight="1" x14ac:dyDescent="0.3">
      <c r="A15" s="11" t="s">
        <v>275</v>
      </c>
      <c r="B15" s="9" t="s">
        <v>276</v>
      </c>
      <c r="C15" s="9"/>
      <c r="D15" s="9"/>
      <c r="E15" s="9"/>
      <c r="F15" s="9"/>
    </row>
    <row r="16" spans="1:6" ht="28.95" customHeight="1" x14ac:dyDescent="0.3">
      <c r="A16" s="11" t="s">
        <v>277</v>
      </c>
      <c r="B16" s="9" t="s">
        <v>278</v>
      </c>
      <c r="C16" s="9" t="s">
        <v>279</v>
      </c>
      <c r="D16" s="9" t="s">
        <v>280</v>
      </c>
      <c r="E16" s="9" t="s">
        <v>258</v>
      </c>
      <c r="F16" s="9"/>
    </row>
    <row r="17" spans="1:6" ht="28.95" customHeight="1" x14ac:dyDescent="0.3">
      <c r="A17" s="11" t="s">
        <v>281</v>
      </c>
      <c r="B17" s="9" t="s">
        <v>282</v>
      </c>
      <c r="C17" s="9" t="s">
        <v>283</v>
      </c>
      <c r="D17" s="9"/>
      <c r="E17" s="9"/>
      <c r="F17" s="9"/>
    </row>
    <row r="18" spans="1:6" ht="28.95" customHeight="1" x14ac:dyDescent="0.3">
      <c r="A18" s="11" t="s">
        <v>284</v>
      </c>
      <c r="B18" s="9" t="s">
        <v>285</v>
      </c>
      <c r="C18" s="9" t="s">
        <v>286</v>
      </c>
      <c r="D18" s="9" t="s">
        <v>287</v>
      </c>
      <c r="E18" s="9" t="s">
        <v>258</v>
      </c>
      <c r="F18" s="9"/>
    </row>
    <row r="19" spans="1:6" ht="28.95" customHeight="1" x14ac:dyDescent="0.3">
      <c r="A19" s="11" t="s">
        <v>288</v>
      </c>
      <c r="B19" s="3" t="s">
        <v>289</v>
      </c>
      <c r="C19" s="2"/>
      <c r="D19" s="2"/>
      <c r="E19" s="2"/>
      <c r="F19" s="2"/>
    </row>
    <row r="20" spans="1:6" x14ac:dyDescent="0.3">
      <c r="A20" s="11" t="s">
        <v>290</v>
      </c>
      <c r="B20" s="2" t="s">
        <v>291</v>
      </c>
      <c r="C20" s="2"/>
      <c r="D20" s="2"/>
      <c r="E20" s="2"/>
      <c r="F20" s="2"/>
    </row>
  </sheetData>
  <mergeCells count="1">
    <mergeCell ref="A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245"/>
  <sheetViews>
    <sheetView showGridLines="0" tabSelected="1" workbookViewId="0">
      <selection activeCell="B3" sqref="B3"/>
    </sheetView>
  </sheetViews>
  <sheetFormatPr defaultColWidth="8.88671875" defaultRowHeight="13.8" x14ac:dyDescent="0.3"/>
  <cols>
    <col min="1" max="1" width="8.88671875" style="15" customWidth="1"/>
    <col min="2" max="2" width="9.44140625" style="15" bestFit="1" customWidth="1"/>
    <col min="3" max="3" width="8.88671875" style="15" customWidth="1"/>
    <col min="4" max="4" width="40.33203125" style="15" customWidth="1"/>
    <col min="5" max="5" width="72" style="25" customWidth="1"/>
    <col min="6" max="6" width="13.33203125" style="25" customWidth="1"/>
    <col min="7" max="7" width="16" style="15" bestFit="1" customWidth="1"/>
    <col min="8" max="8" width="19.6640625" style="36" bestFit="1" customWidth="1"/>
    <col min="9" max="9" width="19.109375" style="15" bestFit="1" customWidth="1"/>
    <col min="10" max="10" width="10.109375" style="15" bestFit="1" customWidth="1"/>
    <col min="11" max="11" width="10.33203125" style="15" bestFit="1" customWidth="1"/>
    <col min="12" max="12" width="29.5546875" style="15" customWidth="1"/>
    <col min="13" max="14" width="8.88671875" style="15" customWidth="1"/>
    <col min="15" max="16384" width="8.88671875" style="15"/>
  </cols>
  <sheetData>
    <row r="2" spans="2:12" x14ac:dyDescent="0.3">
      <c r="H2" s="36">
        <f>SUM(H4:H85)</f>
        <v>47.199999999999996</v>
      </c>
    </row>
    <row r="3" spans="2:12" s="18" customFormat="1" x14ac:dyDescent="0.3">
      <c r="B3" s="13" t="s">
        <v>0</v>
      </c>
      <c r="C3" s="13" t="s">
        <v>1</v>
      </c>
      <c r="D3" s="13" t="s">
        <v>2</v>
      </c>
      <c r="E3" s="14" t="s">
        <v>2</v>
      </c>
      <c r="F3" s="14" t="s">
        <v>3</v>
      </c>
      <c r="G3" s="13" t="s">
        <v>4</v>
      </c>
      <c r="H3" s="13" t="s">
        <v>5</v>
      </c>
      <c r="I3" s="13" t="s">
        <v>6</v>
      </c>
      <c r="J3" s="13" t="s">
        <v>7</v>
      </c>
      <c r="K3" s="13" t="s">
        <v>8</v>
      </c>
      <c r="L3" s="13" t="s">
        <v>9</v>
      </c>
    </row>
    <row r="4" spans="2:12" ht="14.4" customHeight="1" x14ac:dyDescent="0.3">
      <c r="B4" s="21" t="s">
        <v>10</v>
      </c>
      <c r="C4" s="21" t="s">
        <v>11</v>
      </c>
      <c r="D4" s="19" t="s">
        <v>12</v>
      </c>
      <c r="E4" s="19" t="s">
        <v>13</v>
      </c>
      <c r="F4" s="42" t="s">
        <v>14</v>
      </c>
      <c r="G4" s="16"/>
      <c r="H4" s="30">
        <v>2</v>
      </c>
      <c r="I4" s="16"/>
      <c r="J4" s="35">
        <v>46293</v>
      </c>
      <c r="K4" s="35">
        <v>46294</v>
      </c>
      <c r="L4" s="22"/>
    </row>
    <row r="5" spans="2:12" ht="14.4" customHeight="1" x14ac:dyDescent="0.3">
      <c r="B5" s="21" t="s">
        <v>15</v>
      </c>
      <c r="C5" s="21" t="s">
        <v>16</v>
      </c>
      <c r="D5" s="17" t="s">
        <v>17</v>
      </c>
      <c r="E5" s="17" t="s">
        <v>18</v>
      </c>
      <c r="F5" s="42" t="s">
        <v>19</v>
      </c>
      <c r="G5" s="16"/>
      <c r="H5" s="31">
        <v>0.5</v>
      </c>
      <c r="I5" s="16"/>
      <c r="J5" s="35">
        <v>46295</v>
      </c>
      <c r="K5" s="35">
        <v>46301</v>
      </c>
      <c r="L5" s="22"/>
    </row>
    <row r="6" spans="2:12" s="18" customFormat="1" ht="27.6" customHeight="1" x14ac:dyDescent="0.3">
      <c r="B6" s="21" t="s">
        <v>15</v>
      </c>
      <c r="C6" s="21" t="s">
        <v>20</v>
      </c>
      <c r="D6" s="17" t="s">
        <v>17</v>
      </c>
      <c r="E6" s="19" t="s">
        <v>21</v>
      </c>
      <c r="F6" s="42" t="s">
        <v>19</v>
      </c>
      <c r="G6" s="16"/>
      <c r="H6" s="16">
        <v>0.5</v>
      </c>
      <c r="I6" s="16"/>
      <c r="J6" s="35">
        <v>46295</v>
      </c>
      <c r="K6" s="35">
        <v>46301</v>
      </c>
      <c r="L6" s="28"/>
    </row>
    <row r="7" spans="2:12" ht="41.4" customHeight="1" x14ac:dyDescent="0.3">
      <c r="B7" s="21" t="s">
        <v>15</v>
      </c>
      <c r="C7" s="21" t="s">
        <v>22</v>
      </c>
      <c r="D7" s="17" t="s">
        <v>17</v>
      </c>
      <c r="E7" s="19" t="s">
        <v>23</v>
      </c>
      <c r="F7" s="42" t="s">
        <v>19</v>
      </c>
      <c r="G7" s="16"/>
      <c r="H7" s="16">
        <v>0.5</v>
      </c>
      <c r="I7" s="16"/>
      <c r="J7" s="35">
        <v>46295</v>
      </c>
      <c r="K7" s="35">
        <v>46301</v>
      </c>
      <c r="L7" s="22"/>
    </row>
    <row r="8" spans="2:12" x14ac:dyDescent="0.3">
      <c r="B8" s="21" t="s">
        <v>15</v>
      </c>
      <c r="C8" s="21" t="s">
        <v>24</v>
      </c>
      <c r="D8" s="17" t="s">
        <v>17</v>
      </c>
      <c r="E8" s="19" t="s">
        <v>25</v>
      </c>
      <c r="F8" s="42" t="s">
        <v>19</v>
      </c>
      <c r="G8" s="16"/>
      <c r="H8" s="16">
        <v>0.5</v>
      </c>
      <c r="I8" s="16"/>
      <c r="J8" s="35">
        <v>46295</v>
      </c>
      <c r="K8" s="35">
        <v>46301</v>
      </c>
      <c r="L8" s="22"/>
    </row>
    <row r="9" spans="2:12" ht="27.6" customHeight="1" x14ac:dyDescent="0.3">
      <c r="B9" s="21" t="s">
        <v>15</v>
      </c>
      <c r="C9" s="21" t="s">
        <v>26</v>
      </c>
      <c r="D9" s="17" t="s">
        <v>17</v>
      </c>
      <c r="E9" s="19" t="s">
        <v>27</v>
      </c>
      <c r="F9" s="42" t="s">
        <v>19</v>
      </c>
      <c r="G9" s="16"/>
      <c r="H9" s="16">
        <v>0.5</v>
      </c>
      <c r="I9" s="16"/>
      <c r="J9" s="35">
        <v>46295</v>
      </c>
      <c r="K9" s="35">
        <v>46301</v>
      </c>
      <c r="L9" s="22"/>
    </row>
    <row r="10" spans="2:12" x14ac:dyDescent="0.3">
      <c r="B10" s="21" t="s">
        <v>15</v>
      </c>
      <c r="C10" s="21" t="s">
        <v>28</v>
      </c>
      <c r="D10" s="17" t="s">
        <v>17</v>
      </c>
      <c r="E10" s="19" t="s">
        <v>29</v>
      </c>
      <c r="F10" s="42" t="s">
        <v>19</v>
      </c>
      <c r="G10" s="16"/>
      <c r="H10" s="16">
        <v>0.15</v>
      </c>
      <c r="I10" s="16"/>
      <c r="J10" s="35">
        <v>46295</v>
      </c>
      <c r="K10" s="35">
        <v>46301</v>
      </c>
      <c r="L10" s="22"/>
    </row>
    <row r="11" spans="2:12" x14ac:dyDescent="0.3">
      <c r="B11" s="21" t="s">
        <v>15</v>
      </c>
      <c r="C11" s="21" t="s">
        <v>30</v>
      </c>
      <c r="D11" s="17" t="s">
        <v>17</v>
      </c>
      <c r="E11" s="19" t="s">
        <v>31</v>
      </c>
      <c r="F11" s="42" t="s">
        <v>19</v>
      </c>
      <c r="G11" s="16"/>
      <c r="H11" s="16">
        <v>0.25</v>
      </c>
      <c r="I11" s="16"/>
      <c r="J11" s="35">
        <v>46295</v>
      </c>
      <c r="K11" s="35">
        <v>46301</v>
      </c>
      <c r="L11" s="22"/>
    </row>
    <row r="12" spans="2:12" ht="27.6" customHeight="1" x14ac:dyDescent="0.3">
      <c r="B12" s="21" t="s">
        <v>15</v>
      </c>
      <c r="C12" s="21" t="s">
        <v>32</v>
      </c>
      <c r="D12" s="17" t="s">
        <v>17</v>
      </c>
      <c r="E12" s="20" t="s">
        <v>33</v>
      </c>
      <c r="F12" s="42" t="s">
        <v>19</v>
      </c>
      <c r="G12" s="16"/>
      <c r="H12" s="16">
        <v>0.1</v>
      </c>
      <c r="I12" s="16"/>
      <c r="J12" s="35">
        <v>46295</v>
      </c>
      <c r="K12" s="35">
        <v>46301</v>
      </c>
      <c r="L12" s="22"/>
    </row>
    <row r="13" spans="2:12" ht="27.6" customHeight="1" x14ac:dyDescent="0.3">
      <c r="B13" s="21" t="s">
        <v>15</v>
      </c>
      <c r="C13" s="21" t="s">
        <v>34</v>
      </c>
      <c r="D13" s="17" t="s">
        <v>17</v>
      </c>
      <c r="E13" s="20" t="s">
        <v>35</v>
      </c>
      <c r="F13" s="42" t="s">
        <v>19</v>
      </c>
      <c r="G13" s="16"/>
      <c r="H13" s="16">
        <v>0.25</v>
      </c>
      <c r="I13" s="16"/>
      <c r="J13" s="35">
        <v>46295</v>
      </c>
      <c r="K13" s="35">
        <v>46301</v>
      </c>
      <c r="L13" s="22"/>
    </row>
    <row r="14" spans="2:12" ht="15" customHeight="1" x14ac:dyDescent="0.3">
      <c r="B14" s="21" t="s">
        <v>15</v>
      </c>
      <c r="C14" s="21" t="s">
        <v>36</v>
      </c>
      <c r="D14" s="17" t="s">
        <v>17</v>
      </c>
      <c r="E14" s="22" t="s">
        <v>37</v>
      </c>
      <c r="F14" s="42" t="s">
        <v>19</v>
      </c>
      <c r="G14" s="16"/>
      <c r="H14" s="16">
        <v>0.15</v>
      </c>
      <c r="I14" s="16"/>
      <c r="J14" s="45">
        <v>46295</v>
      </c>
      <c r="K14" s="35">
        <v>46301</v>
      </c>
      <c r="L14" s="22"/>
    </row>
    <row r="15" spans="2:12" x14ac:dyDescent="0.3">
      <c r="B15" s="21" t="s">
        <v>38</v>
      </c>
      <c r="C15" s="21" t="s">
        <v>39</v>
      </c>
      <c r="D15" s="19" t="s">
        <v>40</v>
      </c>
      <c r="E15" s="19" t="s">
        <v>41</v>
      </c>
      <c r="F15" s="42" t="s">
        <v>19</v>
      </c>
      <c r="G15" s="16"/>
      <c r="H15" s="16">
        <v>0.25</v>
      </c>
      <c r="I15" s="16"/>
      <c r="J15" s="35">
        <v>46302</v>
      </c>
      <c r="K15" s="35">
        <v>46307</v>
      </c>
      <c r="L15" s="22"/>
    </row>
    <row r="16" spans="2:12" x14ac:dyDescent="0.3">
      <c r="B16" s="21" t="s">
        <v>38</v>
      </c>
      <c r="C16" s="21" t="s">
        <v>42</v>
      </c>
      <c r="D16" s="19" t="s">
        <v>40</v>
      </c>
      <c r="E16" s="19" t="s">
        <v>43</v>
      </c>
      <c r="F16" s="42" t="s">
        <v>19</v>
      </c>
      <c r="G16" s="16"/>
      <c r="H16" s="16">
        <v>0.25</v>
      </c>
      <c r="I16" s="16"/>
      <c r="J16" s="35">
        <v>46302</v>
      </c>
      <c r="K16" s="35">
        <v>46307</v>
      </c>
      <c r="L16" s="22"/>
    </row>
    <row r="17" spans="2:12" x14ac:dyDescent="0.3">
      <c r="B17" s="21" t="s">
        <v>38</v>
      </c>
      <c r="C17" s="21" t="s">
        <v>44</v>
      </c>
      <c r="D17" s="19" t="s">
        <v>40</v>
      </c>
      <c r="E17" s="19" t="s">
        <v>45</v>
      </c>
      <c r="F17" s="42" t="s">
        <v>19</v>
      </c>
      <c r="G17" s="16"/>
      <c r="H17" s="16">
        <v>0.25</v>
      </c>
      <c r="I17" s="16"/>
      <c r="J17" s="35">
        <v>46302</v>
      </c>
      <c r="K17" s="35">
        <v>46307</v>
      </c>
      <c r="L17" s="22"/>
    </row>
    <row r="18" spans="2:12" x14ac:dyDescent="0.3">
      <c r="B18" s="21" t="s">
        <v>38</v>
      </c>
      <c r="C18" s="21" t="s">
        <v>46</v>
      </c>
      <c r="D18" s="19" t="s">
        <v>40</v>
      </c>
      <c r="E18" s="19" t="s">
        <v>47</v>
      </c>
      <c r="F18" s="42" t="s">
        <v>19</v>
      </c>
      <c r="G18" s="16"/>
      <c r="H18" s="16">
        <v>0.25</v>
      </c>
      <c r="I18" s="16"/>
      <c r="J18" s="35">
        <v>46302</v>
      </c>
      <c r="K18" s="35">
        <v>46307</v>
      </c>
      <c r="L18" s="22"/>
    </row>
    <row r="19" spans="2:12" x14ac:dyDescent="0.3">
      <c r="B19" s="21" t="s">
        <v>38</v>
      </c>
      <c r="C19" s="21" t="s">
        <v>48</v>
      </c>
      <c r="D19" s="19" t="s">
        <v>40</v>
      </c>
      <c r="E19" s="19" t="s">
        <v>49</v>
      </c>
      <c r="F19" s="42" t="s">
        <v>19</v>
      </c>
      <c r="G19" s="16"/>
      <c r="H19" s="16">
        <v>0.25</v>
      </c>
      <c r="I19" s="16"/>
      <c r="J19" s="35">
        <v>46302</v>
      </c>
      <c r="K19" s="35">
        <v>46307</v>
      </c>
      <c r="L19" s="22"/>
    </row>
    <row r="20" spans="2:12" x14ac:dyDescent="0.3">
      <c r="B20" s="21" t="s">
        <v>38</v>
      </c>
      <c r="C20" s="21" t="s">
        <v>50</v>
      </c>
      <c r="D20" s="19" t="s">
        <v>40</v>
      </c>
      <c r="E20" s="19" t="s">
        <v>51</v>
      </c>
      <c r="F20" s="42" t="s">
        <v>19</v>
      </c>
      <c r="G20" s="16"/>
      <c r="H20" s="16">
        <v>0.25</v>
      </c>
      <c r="I20" s="16"/>
      <c r="J20" s="35">
        <v>46302</v>
      </c>
      <c r="K20" s="35">
        <v>46307</v>
      </c>
      <c r="L20" s="22"/>
    </row>
    <row r="21" spans="2:12" x14ac:dyDescent="0.3">
      <c r="B21" s="21" t="s">
        <v>38</v>
      </c>
      <c r="C21" s="21" t="s">
        <v>52</v>
      </c>
      <c r="D21" s="19" t="s">
        <v>40</v>
      </c>
      <c r="E21" s="19" t="s">
        <v>53</v>
      </c>
      <c r="F21" s="42" t="s">
        <v>19</v>
      </c>
      <c r="G21" s="16"/>
      <c r="H21" s="16">
        <v>0.25</v>
      </c>
      <c r="I21" s="16"/>
      <c r="J21" s="35">
        <v>46302</v>
      </c>
      <c r="K21" s="35">
        <v>46307</v>
      </c>
      <c r="L21" s="22"/>
    </row>
    <row r="22" spans="2:12" x14ac:dyDescent="0.3">
      <c r="B22" s="21" t="s">
        <v>38</v>
      </c>
      <c r="C22" s="21" t="s">
        <v>54</v>
      </c>
      <c r="D22" s="19" t="s">
        <v>40</v>
      </c>
      <c r="E22" s="19" t="s">
        <v>55</v>
      </c>
      <c r="F22" s="42" t="s">
        <v>19</v>
      </c>
      <c r="G22" s="16"/>
      <c r="H22" s="16">
        <v>0.25</v>
      </c>
      <c r="I22" s="16"/>
      <c r="J22" s="35">
        <v>46302</v>
      </c>
      <c r="K22" s="35">
        <v>46307</v>
      </c>
      <c r="L22" s="22"/>
    </row>
    <row r="23" spans="2:12" x14ac:dyDescent="0.3">
      <c r="B23" s="21" t="s">
        <v>38</v>
      </c>
      <c r="C23" s="21" t="s">
        <v>56</v>
      </c>
      <c r="D23" s="19" t="s">
        <v>40</v>
      </c>
      <c r="E23" s="19" t="s">
        <v>57</v>
      </c>
      <c r="F23" s="42" t="s">
        <v>19</v>
      </c>
      <c r="G23" s="16"/>
      <c r="H23" s="16">
        <v>0.25</v>
      </c>
      <c r="I23" s="16"/>
      <c r="J23" s="35">
        <v>46302</v>
      </c>
      <c r="K23" s="35">
        <v>46307</v>
      </c>
      <c r="L23" s="22"/>
    </row>
    <row r="24" spans="2:12" ht="41.4" customHeight="1" x14ac:dyDescent="0.3">
      <c r="B24" s="21" t="s">
        <v>58</v>
      </c>
      <c r="C24" s="21" t="s">
        <v>59</v>
      </c>
      <c r="D24" s="19" t="s">
        <v>60</v>
      </c>
      <c r="E24" s="19" t="s">
        <v>61</v>
      </c>
      <c r="F24" s="42" t="s">
        <v>19</v>
      </c>
      <c r="G24" s="21"/>
      <c r="H24" s="21">
        <v>0.25</v>
      </c>
      <c r="I24" s="21"/>
      <c r="J24" s="37">
        <v>46307</v>
      </c>
      <c r="K24" s="37">
        <v>46308</v>
      </c>
      <c r="L24" s="22"/>
    </row>
    <row r="25" spans="2:12" ht="27.6" customHeight="1" x14ac:dyDescent="0.3">
      <c r="B25" s="21" t="s">
        <v>58</v>
      </c>
      <c r="C25" s="21" t="s">
        <v>62</v>
      </c>
      <c r="D25" s="19" t="s">
        <v>60</v>
      </c>
      <c r="E25" s="20" t="s">
        <v>63</v>
      </c>
      <c r="F25" s="42" t="s">
        <v>19</v>
      </c>
      <c r="G25" s="21"/>
      <c r="H25" s="21">
        <v>0.25</v>
      </c>
      <c r="I25" s="21"/>
      <c r="J25" s="37">
        <v>46307</v>
      </c>
      <c r="K25" s="37">
        <v>46308</v>
      </c>
      <c r="L25" s="22"/>
    </row>
    <row r="26" spans="2:12" ht="28.95" customHeight="1" x14ac:dyDescent="0.3">
      <c r="B26" s="21" t="s">
        <v>64</v>
      </c>
      <c r="C26" s="21" t="s">
        <v>65</v>
      </c>
      <c r="D26" s="26" t="s">
        <v>66</v>
      </c>
      <c r="E26" s="26" t="s">
        <v>67</v>
      </c>
      <c r="F26" s="42" t="s">
        <v>19</v>
      </c>
      <c r="G26" s="21"/>
      <c r="H26" s="31">
        <v>0.75</v>
      </c>
      <c r="I26" s="21"/>
      <c r="J26" s="37">
        <v>46309</v>
      </c>
      <c r="K26" s="37">
        <v>46310</v>
      </c>
      <c r="L26" s="22"/>
    </row>
    <row r="27" spans="2:12" ht="28.95" customHeight="1" x14ac:dyDescent="0.3">
      <c r="B27" s="21" t="s">
        <v>64</v>
      </c>
      <c r="C27" s="21" t="s">
        <v>68</v>
      </c>
      <c r="D27" s="26" t="s">
        <v>66</v>
      </c>
      <c r="E27" s="26" t="s">
        <v>69</v>
      </c>
      <c r="F27" s="42" t="s">
        <v>19</v>
      </c>
      <c r="G27" s="21"/>
      <c r="H27" s="31">
        <v>0.75</v>
      </c>
      <c r="I27" s="21"/>
      <c r="J27" s="37">
        <v>46309</v>
      </c>
      <c r="K27" s="37">
        <v>46310</v>
      </c>
      <c r="L27" s="22"/>
    </row>
    <row r="28" spans="2:12" ht="27.6" customHeight="1" x14ac:dyDescent="0.3">
      <c r="B28" s="21" t="s">
        <v>70</v>
      </c>
      <c r="C28" s="21" t="s">
        <v>71</v>
      </c>
      <c r="D28" s="20" t="s">
        <v>72</v>
      </c>
      <c r="E28" s="20" t="s">
        <v>73</v>
      </c>
      <c r="F28" s="42" t="s">
        <v>19</v>
      </c>
      <c r="G28" s="21"/>
      <c r="H28" s="31">
        <v>0.5</v>
      </c>
      <c r="I28" s="21"/>
      <c r="J28" s="37">
        <v>46311</v>
      </c>
      <c r="K28" s="37">
        <v>46313</v>
      </c>
      <c r="L28" s="22"/>
    </row>
    <row r="29" spans="2:12" ht="27.6" customHeight="1" x14ac:dyDescent="0.3">
      <c r="B29" s="21" t="s">
        <v>70</v>
      </c>
      <c r="C29" s="21" t="s">
        <v>74</v>
      </c>
      <c r="D29" s="20" t="s">
        <v>72</v>
      </c>
      <c r="E29" s="20" t="s">
        <v>75</v>
      </c>
      <c r="F29" s="42" t="s">
        <v>19</v>
      </c>
      <c r="G29" s="22"/>
      <c r="H29" s="31">
        <v>0.5</v>
      </c>
      <c r="I29" s="21"/>
      <c r="J29" s="37">
        <v>46311</v>
      </c>
      <c r="K29" s="37">
        <v>46313</v>
      </c>
      <c r="L29" s="22"/>
    </row>
    <row r="30" spans="2:12" x14ac:dyDescent="0.3">
      <c r="B30" s="21" t="s">
        <v>70</v>
      </c>
      <c r="C30" s="21" t="s">
        <v>76</v>
      </c>
      <c r="D30" s="20" t="s">
        <v>72</v>
      </c>
      <c r="E30" s="20" t="s">
        <v>77</v>
      </c>
      <c r="F30" s="42" t="s">
        <v>19</v>
      </c>
      <c r="G30" s="22"/>
      <c r="H30" s="21">
        <v>0.25</v>
      </c>
      <c r="I30" s="21"/>
      <c r="J30" s="37">
        <v>46311</v>
      </c>
      <c r="K30" s="37">
        <v>46313</v>
      </c>
      <c r="L30" s="22"/>
    </row>
    <row r="31" spans="2:12" ht="27.6" customHeight="1" x14ac:dyDescent="0.3">
      <c r="B31" s="21" t="s">
        <v>70</v>
      </c>
      <c r="C31" s="21" t="s">
        <v>78</v>
      </c>
      <c r="D31" s="26" t="s">
        <v>79</v>
      </c>
      <c r="E31" s="19" t="s">
        <v>80</v>
      </c>
      <c r="F31" s="42" t="s">
        <v>19</v>
      </c>
      <c r="G31" s="22"/>
      <c r="H31" s="31">
        <v>0.25</v>
      </c>
      <c r="I31" s="21"/>
      <c r="J31" s="37">
        <v>46314</v>
      </c>
      <c r="K31" s="37">
        <v>46316</v>
      </c>
      <c r="L31" s="22"/>
    </row>
    <row r="32" spans="2:12" ht="27.6" customHeight="1" x14ac:dyDescent="0.3">
      <c r="B32" s="21" t="s">
        <v>70</v>
      </c>
      <c r="C32" s="21" t="s">
        <v>81</v>
      </c>
      <c r="D32" s="26" t="s">
        <v>79</v>
      </c>
      <c r="E32" s="19" t="s">
        <v>82</v>
      </c>
      <c r="F32" s="42" t="s">
        <v>19</v>
      </c>
      <c r="G32" s="21"/>
      <c r="H32" s="31">
        <v>0.25</v>
      </c>
      <c r="I32" s="21"/>
      <c r="J32" s="37">
        <v>46314</v>
      </c>
      <c r="K32" s="37">
        <v>46316</v>
      </c>
      <c r="L32" s="22"/>
    </row>
    <row r="33" spans="2:12" ht="14.4" customHeight="1" x14ac:dyDescent="0.3">
      <c r="B33" s="21" t="s">
        <v>70</v>
      </c>
      <c r="C33" s="21" t="s">
        <v>83</v>
      </c>
      <c r="D33" s="26" t="s">
        <v>79</v>
      </c>
      <c r="E33" s="19" t="s">
        <v>84</v>
      </c>
      <c r="F33" s="42" t="s">
        <v>19</v>
      </c>
      <c r="G33" s="21"/>
      <c r="H33" s="31">
        <v>0.5</v>
      </c>
      <c r="I33" s="21"/>
      <c r="J33" s="37">
        <v>46314</v>
      </c>
      <c r="K33" s="37">
        <v>46316</v>
      </c>
      <c r="L33" s="22"/>
    </row>
    <row r="34" spans="2:12" ht="14.4" customHeight="1" x14ac:dyDescent="0.3">
      <c r="B34" s="21" t="s">
        <v>70</v>
      </c>
      <c r="C34" s="21" t="s">
        <v>85</v>
      </c>
      <c r="D34" s="26" t="s">
        <v>79</v>
      </c>
      <c r="E34" s="20" t="s">
        <v>86</v>
      </c>
      <c r="F34" s="42" t="s">
        <v>19</v>
      </c>
      <c r="G34" s="21"/>
      <c r="H34" s="21">
        <v>0.15</v>
      </c>
      <c r="I34" s="21"/>
      <c r="J34" s="37">
        <v>46314</v>
      </c>
      <c r="K34" s="37">
        <v>46316</v>
      </c>
      <c r="L34" s="22"/>
    </row>
    <row r="35" spans="2:12" ht="14.4" customHeight="1" x14ac:dyDescent="0.3">
      <c r="B35" s="21" t="s">
        <v>70</v>
      </c>
      <c r="C35" s="21" t="s">
        <v>87</v>
      </c>
      <c r="D35" s="26" t="s">
        <v>79</v>
      </c>
      <c r="E35" s="20" t="s">
        <v>88</v>
      </c>
      <c r="F35" s="42" t="s">
        <v>19</v>
      </c>
      <c r="G35" s="21"/>
      <c r="H35" s="21">
        <v>0.15</v>
      </c>
      <c r="I35" s="21"/>
      <c r="J35" s="37">
        <v>46314</v>
      </c>
      <c r="K35" s="37">
        <v>46316</v>
      </c>
      <c r="L35" s="22"/>
    </row>
    <row r="36" spans="2:12" ht="43.2" customHeight="1" x14ac:dyDescent="0.3">
      <c r="B36" s="21" t="s">
        <v>89</v>
      </c>
      <c r="C36" s="21" t="s">
        <v>90</v>
      </c>
      <c r="D36" s="19" t="s">
        <v>91</v>
      </c>
      <c r="E36" s="26" t="s">
        <v>92</v>
      </c>
      <c r="F36" s="42" t="s">
        <v>19</v>
      </c>
      <c r="G36" s="21"/>
      <c r="H36" s="21">
        <v>0.5</v>
      </c>
      <c r="I36" s="21"/>
      <c r="J36" s="37">
        <v>46316</v>
      </c>
      <c r="K36" s="37">
        <v>46318</v>
      </c>
      <c r="L36" s="22"/>
    </row>
    <row r="37" spans="2:12" ht="28.95" customHeight="1" x14ac:dyDescent="0.3">
      <c r="B37" s="21" t="s">
        <v>89</v>
      </c>
      <c r="C37" s="21" t="s">
        <v>93</v>
      </c>
      <c r="D37" s="19" t="s">
        <v>91</v>
      </c>
      <c r="E37" s="26" t="s">
        <v>94</v>
      </c>
      <c r="F37" s="42" t="s">
        <v>19</v>
      </c>
      <c r="G37" s="21"/>
      <c r="H37" s="31">
        <v>0.5</v>
      </c>
      <c r="I37" s="21"/>
      <c r="J37" s="37">
        <v>46316</v>
      </c>
      <c r="K37" s="37">
        <v>46318</v>
      </c>
      <c r="L37" s="22"/>
    </row>
    <row r="38" spans="2:12" ht="28.95" customHeight="1" x14ac:dyDescent="0.3">
      <c r="B38" s="21" t="s">
        <v>89</v>
      </c>
      <c r="C38" s="21" t="s">
        <v>95</v>
      </c>
      <c r="D38" s="19" t="s">
        <v>91</v>
      </c>
      <c r="E38" s="26" t="s">
        <v>96</v>
      </c>
      <c r="F38" s="42" t="s">
        <v>19</v>
      </c>
      <c r="G38" s="21"/>
      <c r="H38" s="31">
        <v>0.25</v>
      </c>
      <c r="I38" s="21"/>
      <c r="J38" s="37">
        <v>46316</v>
      </c>
      <c r="K38" s="37">
        <v>46318</v>
      </c>
      <c r="L38" s="22"/>
    </row>
    <row r="39" spans="2:12" ht="27.6" customHeight="1" x14ac:dyDescent="0.3">
      <c r="B39" s="21" t="s">
        <v>89</v>
      </c>
      <c r="C39" s="21" t="s">
        <v>97</v>
      </c>
      <c r="D39" s="19" t="s">
        <v>91</v>
      </c>
      <c r="E39" s="26" t="s">
        <v>98</v>
      </c>
      <c r="F39" s="42" t="s">
        <v>19</v>
      </c>
      <c r="G39" s="22"/>
      <c r="H39" s="31">
        <v>0.5</v>
      </c>
      <c r="I39" s="22"/>
      <c r="J39" s="38">
        <v>46316</v>
      </c>
      <c r="K39" s="38">
        <v>46318</v>
      </c>
      <c r="L39" s="22"/>
    </row>
    <row r="40" spans="2:12" ht="28.95" customHeight="1" x14ac:dyDescent="0.3">
      <c r="B40" s="21" t="s">
        <v>89</v>
      </c>
      <c r="C40" s="21" t="s">
        <v>99</v>
      </c>
      <c r="D40" s="26" t="s">
        <v>100</v>
      </c>
      <c r="E40" s="26" t="s">
        <v>101</v>
      </c>
      <c r="F40" s="42" t="s">
        <v>19</v>
      </c>
      <c r="G40" s="22"/>
      <c r="H40" s="29">
        <v>1.5</v>
      </c>
      <c r="I40" s="22"/>
      <c r="J40" s="38">
        <v>46318</v>
      </c>
      <c r="K40" s="38">
        <v>46320</v>
      </c>
      <c r="L40" s="22"/>
    </row>
    <row r="41" spans="2:12" ht="14.4" customHeight="1" x14ac:dyDescent="0.3">
      <c r="B41" s="21" t="s">
        <v>89</v>
      </c>
      <c r="C41" s="21" t="s">
        <v>102</v>
      </c>
      <c r="D41" s="26" t="s">
        <v>100</v>
      </c>
      <c r="E41" s="26" t="s">
        <v>103</v>
      </c>
      <c r="F41" s="42" t="s">
        <v>19</v>
      </c>
      <c r="G41" s="22"/>
      <c r="H41" s="29">
        <v>1</v>
      </c>
      <c r="I41" s="22"/>
      <c r="J41" s="38">
        <v>46318</v>
      </c>
      <c r="K41" s="38">
        <v>46320</v>
      </c>
      <c r="L41" s="22"/>
    </row>
    <row r="42" spans="2:12" ht="28.95" customHeight="1" x14ac:dyDescent="0.3">
      <c r="B42" s="21" t="s">
        <v>89</v>
      </c>
      <c r="C42" s="21" t="s">
        <v>104</v>
      </c>
      <c r="D42" s="26" t="s">
        <v>100</v>
      </c>
      <c r="E42" s="26" t="s">
        <v>105</v>
      </c>
      <c r="F42" s="42" t="s">
        <v>19</v>
      </c>
      <c r="G42" s="22"/>
      <c r="H42" s="29">
        <v>0.25</v>
      </c>
      <c r="I42" s="22"/>
      <c r="J42" s="38">
        <v>46318</v>
      </c>
      <c r="K42" s="38">
        <v>46320</v>
      </c>
      <c r="L42" s="22"/>
    </row>
    <row r="43" spans="2:12" ht="28.95" customHeight="1" x14ac:dyDescent="0.3">
      <c r="B43" s="21" t="s">
        <v>106</v>
      </c>
      <c r="C43" s="21" t="s">
        <v>107</v>
      </c>
      <c r="D43" s="26" t="s">
        <v>108</v>
      </c>
      <c r="E43" s="26" t="s">
        <v>109</v>
      </c>
      <c r="F43" s="42" t="s">
        <v>19</v>
      </c>
      <c r="G43" s="22"/>
      <c r="H43" s="29">
        <v>0.15</v>
      </c>
      <c r="I43" s="22"/>
      <c r="J43" s="38">
        <v>46320</v>
      </c>
      <c r="K43" s="38">
        <v>46320</v>
      </c>
      <c r="L43" s="22"/>
    </row>
    <row r="44" spans="2:12" ht="28.95" customHeight="1" x14ac:dyDescent="0.3">
      <c r="B44" s="21" t="s">
        <v>110</v>
      </c>
      <c r="C44" s="21" t="s">
        <v>111</v>
      </c>
      <c r="D44" s="26" t="s">
        <v>112</v>
      </c>
      <c r="E44" s="26" t="s">
        <v>113</v>
      </c>
      <c r="F44" s="42" t="s">
        <v>19</v>
      </c>
      <c r="G44" s="22"/>
      <c r="H44" s="31">
        <v>0.25</v>
      </c>
      <c r="I44" s="22"/>
      <c r="J44" s="38">
        <v>46320</v>
      </c>
      <c r="K44" s="38">
        <v>46320</v>
      </c>
      <c r="L44" s="22"/>
    </row>
    <row r="45" spans="2:12" ht="14.4" customHeight="1" x14ac:dyDescent="0.3">
      <c r="B45" s="21" t="s">
        <v>110</v>
      </c>
      <c r="C45" s="21" t="s">
        <v>114</v>
      </c>
      <c r="D45" s="26" t="s">
        <v>112</v>
      </c>
      <c r="E45" s="26" t="s">
        <v>115</v>
      </c>
      <c r="F45" s="42" t="s">
        <v>19</v>
      </c>
      <c r="G45" s="22"/>
      <c r="H45" s="31">
        <v>0.25</v>
      </c>
      <c r="I45" s="22"/>
      <c r="J45" s="38">
        <v>46320</v>
      </c>
      <c r="K45" s="38">
        <v>46320</v>
      </c>
      <c r="L45" s="22"/>
    </row>
    <row r="46" spans="2:12" ht="28.95" customHeight="1" x14ac:dyDescent="0.3">
      <c r="B46" s="21" t="s">
        <v>116</v>
      </c>
      <c r="C46" s="21" t="s">
        <v>117</v>
      </c>
      <c r="D46" s="26" t="s">
        <v>118</v>
      </c>
      <c r="E46" s="26" t="s">
        <v>119</v>
      </c>
      <c r="F46" s="42" t="s">
        <v>19</v>
      </c>
      <c r="G46" s="22"/>
      <c r="H46" s="21">
        <v>0.25</v>
      </c>
      <c r="I46" s="22"/>
      <c r="J46" s="38">
        <v>46320</v>
      </c>
      <c r="K46" s="38">
        <v>46321</v>
      </c>
      <c r="L46" s="22"/>
    </row>
    <row r="47" spans="2:12" ht="14.4" customHeight="1" x14ac:dyDescent="0.3">
      <c r="B47" s="21" t="s">
        <v>120</v>
      </c>
      <c r="C47" s="21" t="s">
        <v>121</v>
      </c>
      <c r="D47" s="26" t="s">
        <v>122</v>
      </c>
      <c r="E47" s="26" t="s">
        <v>123</v>
      </c>
      <c r="F47" s="42" t="s">
        <v>19</v>
      </c>
      <c r="G47" s="22"/>
      <c r="H47" s="29">
        <v>0.5</v>
      </c>
      <c r="I47" s="22"/>
      <c r="J47" s="38">
        <v>46322</v>
      </c>
      <c r="K47" s="38">
        <v>46323</v>
      </c>
      <c r="L47" s="22"/>
    </row>
    <row r="48" spans="2:12" ht="14.4" customHeight="1" x14ac:dyDescent="0.3">
      <c r="B48" s="21" t="s">
        <v>120</v>
      </c>
      <c r="C48" s="21" t="s">
        <v>124</v>
      </c>
      <c r="D48" s="26" t="s">
        <v>122</v>
      </c>
      <c r="E48" s="23" t="s">
        <v>125</v>
      </c>
      <c r="F48" s="42" t="s">
        <v>19</v>
      </c>
      <c r="G48" s="22"/>
      <c r="H48" s="29">
        <v>0.15</v>
      </c>
      <c r="I48" s="22"/>
      <c r="J48" s="38">
        <v>46322</v>
      </c>
      <c r="K48" s="38">
        <v>46323</v>
      </c>
      <c r="L48" s="22"/>
    </row>
    <row r="49" spans="2:12" ht="14.4" customHeight="1" x14ac:dyDescent="0.3">
      <c r="B49" s="21" t="s">
        <v>120</v>
      </c>
      <c r="C49" s="21" t="s">
        <v>126</v>
      </c>
      <c r="D49" s="26" t="s">
        <v>122</v>
      </c>
      <c r="E49" s="23" t="s">
        <v>127</v>
      </c>
      <c r="F49" s="42" t="s">
        <v>19</v>
      </c>
      <c r="G49" s="22"/>
      <c r="H49" s="29">
        <v>0.15</v>
      </c>
      <c r="I49" s="22"/>
      <c r="J49" s="38">
        <v>46322</v>
      </c>
      <c r="K49" s="38">
        <v>46323</v>
      </c>
      <c r="L49" s="22"/>
    </row>
    <row r="50" spans="2:12" ht="14.4" customHeight="1" x14ac:dyDescent="0.3">
      <c r="B50" s="21" t="s">
        <v>120</v>
      </c>
      <c r="C50" s="21" t="s">
        <v>128</v>
      </c>
      <c r="D50" s="26" t="s">
        <v>122</v>
      </c>
      <c r="E50" s="23" t="s">
        <v>129</v>
      </c>
      <c r="F50" s="42" t="s">
        <v>19</v>
      </c>
      <c r="G50" s="22"/>
      <c r="H50" s="29">
        <v>0.25</v>
      </c>
      <c r="I50" s="22"/>
      <c r="J50" s="38">
        <v>46322</v>
      </c>
      <c r="K50" s="38">
        <v>46323</v>
      </c>
      <c r="L50" s="22"/>
    </row>
    <row r="51" spans="2:12" ht="14.4" customHeight="1" x14ac:dyDescent="0.3">
      <c r="B51" s="21" t="s">
        <v>120</v>
      </c>
      <c r="C51" s="21" t="s">
        <v>130</v>
      </c>
      <c r="D51" s="26" t="s">
        <v>122</v>
      </c>
      <c r="E51" s="23" t="s">
        <v>131</v>
      </c>
      <c r="F51" s="42" t="s">
        <v>19</v>
      </c>
      <c r="G51" s="22"/>
      <c r="H51" s="29">
        <v>0.1</v>
      </c>
      <c r="I51" s="22"/>
      <c r="J51" s="38">
        <v>46322</v>
      </c>
      <c r="K51" s="38">
        <v>46323</v>
      </c>
      <c r="L51" s="22"/>
    </row>
    <row r="52" spans="2:12" ht="43.2" customHeight="1" x14ac:dyDescent="0.3">
      <c r="B52" s="21" t="s">
        <v>120</v>
      </c>
      <c r="C52" s="21" t="s">
        <v>132</v>
      </c>
      <c r="D52" s="33" t="s">
        <v>133</v>
      </c>
      <c r="E52" s="26" t="s">
        <v>134</v>
      </c>
      <c r="F52" s="42" t="s">
        <v>135</v>
      </c>
      <c r="G52" s="22"/>
      <c r="H52" s="29">
        <v>0.75</v>
      </c>
      <c r="I52" s="22"/>
      <c r="J52" s="38">
        <v>46324</v>
      </c>
      <c r="K52" s="38">
        <v>46325</v>
      </c>
      <c r="L52" s="22"/>
    </row>
    <row r="53" spans="2:12" ht="14.4" customHeight="1" x14ac:dyDescent="0.3">
      <c r="B53" s="21" t="s">
        <v>120</v>
      </c>
      <c r="C53" s="21" t="s">
        <v>136</v>
      </c>
      <c r="D53" s="33" t="s">
        <v>133</v>
      </c>
      <c r="E53" s="26" t="s">
        <v>137</v>
      </c>
      <c r="F53" s="42" t="s">
        <v>135</v>
      </c>
      <c r="G53" s="22"/>
      <c r="H53" s="29">
        <v>0.75</v>
      </c>
      <c r="I53" s="22"/>
      <c r="J53" s="38">
        <v>46324</v>
      </c>
      <c r="K53" s="38">
        <v>46325</v>
      </c>
      <c r="L53" s="22"/>
    </row>
    <row r="54" spans="2:12" ht="24" customHeight="1" x14ac:dyDescent="0.3">
      <c r="B54" s="21" t="s">
        <v>138</v>
      </c>
      <c r="C54" s="21" t="s">
        <v>139</v>
      </c>
      <c r="D54" s="26" t="s">
        <v>140</v>
      </c>
      <c r="E54" s="27" t="s">
        <v>141</v>
      </c>
      <c r="F54" s="42" t="s">
        <v>135</v>
      </c>
      <c r="G54" s="22"/>
      <c r="H54" s="29">
        <v>0.15</v>
      </c>
      <c r="I54" s="22"/>
      <c r="J54" s="38">
        <v>46328</v>
      </c>
      <c r="K54" s="38">
        <v>46328</v>
      </c>
      <c r="L54" s="22"/>
    </row>
    <row r="55" spans="2:12" ht="14.4" customHeight="1" x14ac:dyDescent="0.3">
      <c r="B55" s="21" t="s">
        <v>138</v>
      </c>
      <c r="C55" s="21" t="s">
        <v>142</v>
      </c>
      <c r="D55" s="26" t="s">
        <v>140</v>
      </c>
      <c r="E55" s="27" t="s">
        <v>143</v>
      </c>
      <c r="F55" s="42" t="s">
        <v>135</v>
      </c>
      <c r="G55" s="22"/>
      <c r="H55" s="29">
        <v>0.15</v>
      </c>
      <c r="I55" s="22"/>
      <c r="J55" s="38">
        <v>46328</v>
      </c>
      <c r="K55" s="38">
        <v>46328</v>
      </c>
      <c r="L55" s="22"/>
    </row>
    <row r="56" spans="2:12" ht="14.4" customHeight="1" x14ac:dyDescent="0.3">
      <c r="B56" s="21" t="s">
        <v>144</v>
      </c>
      <c r="C56" s="21" t="s">
        <v>145</v>
      </c>
      <c r="D56" s="34" t="s">
        <v>146</v>
      </c>
      <c r="E56" s="26" t="s">
        <v>147</v>
      </c>
      <c r="F56" s="42" t="s">
        <v>135</v>
      </c>
      <c r="G56" s="22"/>
      <c r="H56" s="29">
        <v>0.25</v>
      </c>
      <c r="I56" s="22"/>
      <c r="J56" s="38">
        <v>46328</v>
      </c>
      <c r="K56" s="38">
        <v>46328</v>
      </c>
      <c r="L56" s="22"/>
    </row>
    <row r="57" spans="2:12" ht="14.4" customHeight="1" x14ac:dyDescent="0.3">
      <c r="B57" s="21" t="s">
        <v>144</v>
      </c>
      <c r="C57" s="21" t="s">
        <v>148</v>
      </c>
      <c r="D57" s="34" t="s">
        <v>146</v>
      </c>
      <c r="E57" s="26" t="s">
        <v>149</v>
      </c>
      <c r="F57" s="42" t="s">
        <v>135</v>
      </c>
      <c r="G57" s="22"/>
      <c r="H57" s="29">
        <v>0.25</v>
      </c>
      <c r="I57" s="22"/>
      <c r="J57" s="38">
        <v>46328</v>
      </c>
      <c r="K57" s="38">
        <v>46328</v>
      </c>
      <c r="L57" s="22"/>
    </row>
    <row r="58" spans="2:12" ht="14.4" customHeight="1" x14ac:dyDescent="0.3">
      <c r="B58" s="21" t="s">
        <v>150</v>
      </c>
      <c r="C58" s="21" t="s">
        <v>151</v>
      </c>
      <c r="D58" s="20" t="s">
        <v>152</v>
      </c>
      <c r="E58" s="26" t="s">
        <v>153</v>
      </c>
      <c r="F58" s="42" t="s">
        <v>135</v>
      </c>
      <c r="G58" s="22"/>
      <c r="H58" s="31">
        <v>1</v>
      </c>
      <c r="I58" s="22"/>
      <c r="J58" s="38">
        <v>46328</v>
      </c>
      <c r="K58" s="38">
        <v>46330</v>
      </c>
      <c r="L58" s="22"/>
    </row>
    <row r="59" spans="2:12" ht="14.4" customHeight="1" x14ac:dyDescent="0.3">
      <c r="B59" s="21" t="s">
        <v>150</v>
      </c>
      <c r="C59" s="21" t="s">
        <v>154</v>
      </c>
      <c r="D59" s="20" t="s">
        <v>152</v>
      </c>
      <c r="E59" s="26" t="s">
        <v>155</v>
      </c>
      <c r="F59" s="42" t="s">
        <v>135</v>
      </c>
      <c r="G59" s="22"/>
      <c r="H59" s="31">
        <v>0.5</v>
      </c>
      <c r="I59" s="22"/>
      <c r="J59" s="38">
        <v>46328</v>
      </c>
      <c r="K59" s="38">
        <v>46330</v>
      </c>
      <c r="L59" s="22"/>
    </row>
    <row r="60" spans="2:12" ht="14.4" customHeight="1" x14ac:dyDescent="0.3">
      <c r="B60" s="21" t="s">
        <v>150</v>
      </c>
      <c r="C60" s="21" t="s">
        <v>156</v>
      </c>
      <c r="D60" s="20" t="s">
        <v>152</v>
      </c>
      <c r="E60" s="26" t="s">
        <v>157</v>
      </c>
      <c r="F60" s="42" t="s">
        <v>135</v>
      </c>
      <c r="G60" s="22"/>
      <c r="H60" s="31">
        <v>0.5</v>
      </c>
      <c r="I60" s="22"/>
      <c r="J60" s="38">
        <v>46328</v>
      </c>
      <c r="K60" s="38">
        <v>46330</v>
      </c>
      <c r="L60" s="22"/>
    </row>
    <row r="61" spans="2:12" x14ac:dyDescent="0.3">
      <c r="B61" s="21" t="s">
        <v>150</v>
      </c>
      <c r="C61" s="21" t="s">
        <v>158</v>
      </c>
      <c r="D61" s="20" t="s">
        <v>152</v>
      </c>
      <c r="E61" s="23" t="s">
        <v>131</v>
      </c>
      <c r="F61" s="42" t="s">
        <v>135</v>
      </c>
      <c r="G61" s="22"/>
      <c r="H61" s="29">
        <v>0.15</v>
      </c>
      <c r="I61" s="22"/>
      <c r="J61" s="38">
        <v>46328</v>
      </c>
      <c r="K61" s="38">
        <v>46330</v>
      </c>
      <c r="L61" s="22"/>
    </row>
    <row r="62" spans="2:12" ht="28.95" customHeight="1" x14ac:dyDescent="0.3">
      <c r="B62" s="21" t="s">
        <v>159</v>
      </c>
      <c r="C62" s="21" t="s">
        <v>160</v>
      </c>
      <c r="D62" s="23" t="s">
        <v>161</v>
      </c>
      <c r="E62" s="26" t="s">
        <v>162</v>
      </c>
      <c r="F62" s="42" t="s">
        <v>135</v>
      </c>
      <c r="G62" s="22"/>
      <c r="H62" s="21">
        <v>1.5</v>
      </c>
      <c r="I62" s="22"/>
      <c r="J62" s="38">
        <v>46330</v>
      </c>
      <c r="K62" s="38">
        <v>46332</v>
      </c>
      <c r="L62" s="22"/>
    </row>
    <row r="63" spans="2:12" ht="14.4" customHeight="1" x14ac:dyDescent="0.3">
      <c r="B63" s="21" t="s">
        <v>159</v>
      </c>
      <c r="C63" s="21" t="s">
        <v>163</v>
      </c>
      <c r="D63" s="23" t="s">
        <v>161</v>
      </c>
      <c r="E63" s="26" t="s">
        <v>164</v>
      </c>
      <c r="F63" s="42" t="s">
        <v>135</v>
      </c>
      <c r="G63" s="22"/>
      <c r="H63" s="21">
        <v>1.5</v>
      </c>
      <c r="I63" s="22"/>
      <c r="J63" s="38">
        <v>46330</v>
      </c>
      <c r="K63" s="38">
        <v>46332</v>
      </c>
      <c r="L63" s="22"/>
    </row>
    <row r="64" spans="2:12" ht="28.95" customHeight="1" x14ac:dyDescent="0.3">
      <c r="B64" s="21" t="s">
        <v>165</v>
      </c>
      <c r="C64" s="21" t="s">
        <v>166</v>
      </c>
      <c r="D64" s="23" t="s">
        <v>167</v>
      </c>
      <c r="E64" s="26" t="s">
        <v>168</v>
      </c>
      <c r="F64" s="42" t="s">
        <v>135</v>
      </c>
      <c r="G64" s="22"/>
      <c r="H64" s="31">
        <v>0.5</v>
      </c>
      <c r="I64" s="22"/>
      <c r="J64" s="38">
        <v>46335</v>
      </c>
      <c r="K64" s="38">
        <v>46336</v>
      </c>
      <c r="L64" s="22"/>
    </row>
    <row r="65" spans="2:12" ht="28.95" customHeight="1" x14ac:dyDescent="0.3">
      <c r="B65" s="21" t="s">
        <v>165</v>
      </c>
      <c r="C65" s="21" t="s">
        <v>169</v>
      </c>
      <c r="D65" s="23" t="s">
        <v>167</v>
      </c>
      <c r="E65" s="26" t="s">
        <v>170</v>
      </c>
      <c r="F65" s="42" t="s">
        <v>135</v>
      </c>
      <c r="G65" s="22"/>
      <c r="H65" s="31">
        <v>0.5</v>
      </c>
      <c r="I65" s="22"/>
      <c r="J65" s="38">
        <v>46335</v>
      </c>
      <c r="K65" s="38">
        <v>46336</v>
      </c>
      <c r="L65" s="22"/>
    </row>
    <row r="66" spans="2:12" ht="28.95" customHeight="1" x14ac:dyDescent="0.3">
      <c r="B66" s="21" t="s">
        <v>165</v>
      </c>
      <c r="C66" s="21" t="s">
        <v>171</v>
      </c>
      <c r="D66" s="23" t="s">
        <v>167</v>
      </c>
      <c r="E66" s="26" t="s">
        <v>172</v>
      </c>
      <c r="F66" s="42" t="s">
        <v>135</v>
      </c>
      <c r="G66" s="22"/>
      <c r="H66" s="31">
        <v>0.5</v>
      </c>
      <c r="I66" s="22"/>
      <c r="J66" s="38">
        <v>46335</v>
      </c>
      <c r="K66" s="38">
        <v>46336</v>
      </c>
      <c r="L66" s="22"/>
    </row>
    <row r="67" spans="2:12" ht="28.95" customHeight="1" x14ac:dyDescent="0.3">
      <c r="B67" s="21" t="s">
        <v>173</v>
      </c>
      <c r="C67" s="21" t="s">
        <v>174</v>
      </c>
      <c r="D67" s="26" t="s">
        <v>175</v>
      </c>
      <c r="E67" s="26" t="s">
        <v>176</v>
      </c>
      <c r="F67" s="43" t="s">
        <v>177</v>
      </c>
      <c r="G67" s="22"/>
      <c r="H67" s="31">
        <v>0.5</v>
      </c>
      <c r="I67" s="22"/>
      <c r="J67" s="38">
        <v>46336</v>
      </c>
      <c r="K67" s="38">
        <v>46337</v>
      </c>
      <c r="L67" s="22"/>
    </row>
    <row r="68" spans="2:12" ht="14.4" customHeight="1" x14ac:dyDescent="0.3">
      <c r="B68" s="21" t="s">
        <v>173</v>
      </c>
      <c r="C68" s="21" t="s">
        <v>178</v>
      </c>
      <c r="D68" s="26" t="s">
        <v>175</v>
      </c>
      <c r="E68" s="26" t="s">
        <v>179</v>
      </c>
      <c r="F68" s="43" t="s">
        <v>177</v>
      </c>
      <c r="G68" s="22"/>
      <c r="H68" s="31">
        <v>0.5</v>
      </c>
      <c r="I68" s="22"/>
      <c r="J68" s="38">
        <v>46336</v>
      </c>
      <c r="K68" s="38">
        <v>46337</v>
      </c>
      <c r="L68" s="22"/>
    </row>
    <row r="69" spans="2:12" ht="14.4" customHeight="1" x14ac:dyDescent="0.3">
      <c r="B69" s="21" t="s">
        <v>173</v>
      </c>
      <c r="C69" s="21" t="s">
        <v>180</v>
      </c>
      <c r="D69" s="26" t="s">
        <v>175</v>
      </c>
      <c r="E69" s="26" t="s">
        <v>181</v>
      </c>
      <c r="F69" s="43" t="s">
        <v>177</v>
      </c>
      <c r="G69" s="22"/>
      <c r="H69" s="31">
        <v>0.5</v>
      </c>
      <c r="I69" s="22"/>
      <c r="J69" s="38">
        <v>46336</v>
      </c>
      <c r="K69" s="38">
        <v>46337</v>
      </c>
      <c r="L69" s="22"/>
    </row>
    <row r="70" spans="2:12" ht="14.4" customHeight="1" x14ac:dyDescent="0.3">
      <c r="B70" s="21" t="s">
        <v>182</v>
      </c>
      <c r="C70" s="21" t="s">
        <v>183</v>
      </c>
      <c r="D70" s="26" t="s">
        <v>184</v>
      </c>
      <c r="E70" s="26" t="s">
        <v>185</v>
      </c>
      <c r="F70" s="43" t="s">
        <v>177</v>
      </c>
      <c r="G70" s="22"/>
      <c r="H70" s="32">
        <v>2</v>
      </c>
      <c r="I70" s="22"/>
      <c r="J70" s="38">
        <v>46337</v>
      </c>
      <c r="K70" s="38">
        <v>46339</v>
      </c>
      <c r="L70" s="22"/>
    </row>
    <row r="71" spans="2:12" ht="14.4" customHeight="1" x14ac:dyDescent="0.3">
      <c r="B71" s="21" t="s">
        <v>186</v>
      </c>
      <c r="C71" s="21" t="s">
        <v>187</v>
      </c>
      <c r="D71" s="23" t="s">
        <v>188</v>
      </c>
      <c r="E71" s="23" t="s">
        <v>189</v>
      </c>
      <c r="F71" s="43" t="s">
        <v>177</v>
      </c>
      <c r="G71" s="22"/>
      <c r="H71" s="32">
        <v>0.5</v>
      </c>
      <c r="I71" s="22"/>
      <c r="J71" s="38">
        <v>46339</v>
      </c>
      <c r="K71" s="44">
        <v>46339</v>
      </c>
      <c r="L71" s="22"/>
    </row>
    <row r="72" spans="2:12" ht="14.4" customHeight="1" x14ac:dyDescent="0.3">
      <c r="B72" s="21" t="s">
        <v>190</v>
      </c>
      <c r="C72" s="21" t="s">
        <v>191</v>
      </c>
      <c r="D72" s="26" t="s">
        <v>192</v>
      </c>
      <c r="E72" s="26" t="s">
        <v>193</v>
      </c>
      <c r="F72" s="43" t="s">
        <v>194</v>
      </c>
      <c r="G72" s="22"/>
      <c r="H72" s="31">
        <v>0.75</v>
      </c>
      <c r="I72" s="22"/>
      <c r="J72" s="38">
        <v>46339</v>
      </c>
      <c r="K72" s="38">
        <v>46341</v>
      </c>
      <c r="L72" s="22"/>
    </row>
    <row r="73" spans="2:12" ht="28.95" customHeight="1" x14ac:dyDescent="0.3">
      <c r="B73" s="21" t="s">
        <v>190</v>
      </c>
      <c r="C73" s="21" t="s">
        <v>195</v>
      </c>
      <c r="D73" s="26" t="s">
        <v>192</v>
      </c>
      <c r="E73" s="26" t="s">
        <v>196</v>
      </c>
      <c r="F73" s="43" t="s">
        <v>194</v>
      </c>
      <c r="G73" s="22"/>
      <c r="H73" s="31">
        <v>0.75</v>
      </c>
      <c r="I73" s="22"/>
      <c r="J73" s="38">
        <v>46339</v>
      </c>
      <c r="K73" s="38">
        <v>46341</v>
      </c>
      <c r="L73" s="22"/>
    </row>
    <row r="74" spans="2:12" ht="28.95" customHeight="1" x14ac:dyDescent="0.3">
      <c r="B74" s="21" t="s">
        <v>197</v>
      </c>
      <c r="C74" s="21" t="s">
        <v>198</v>
      </c>
      <c r="D74" s="26" t="s">
        <v>199</v>
      </c>
      <c r="E74" s="26" t="s">
        <v>200</v>
      </c>
      <c r="F74" s="43" t="s">
        <v>194</v>
      </c>
      <c r="G74" s="22"/>
      <c r="H74" s="31">
        <v>0.5</v>
      </c>
      <c r="I74" s="22"/>
      <c r="J74" s="38">
        <v>46342</v>
      </c>
      <c r="K74" s="38">
        <v>46343</v>
      </c>
      <c r="L74" s="22"/>
    </row>
    <row r="75" spans="2:12" ht="14.4" customHeight="1" x14ac:dyDescent="0.3">
      <c r="B75" s="21" t="s">
        <v>197</v>
      </c>
      <c r="C75" s="21" t="s">
        <v>201</v>
      </c>
      <c r="D75" s="26" t="s">
        <v>199</v>
      </c>
      <c r="E75" s="26" t="s">
        <v>202</v>
      </c>
      <c r="F75" s="43" t="s">
        <v>194</v>
      </c>
      <c r="G75" s="22"/>
      <c r="H75" s="31">
        <v>0.5</v>
      </c>
      <c r="I75" s="22"/>
      <c r="J75" s="38">
        <v>46342</v>
      </c>
      <c r="K75" s="38">
        <v>46343</v>
      </c>
      <c r="L75" s="22"/>
    </row>
    <row r="76" spans="2:12" ht="28.95" customHeight="1" x14ac:dyDescent="0.3">
      <c r="B76" s="21" t="s">
        <v>203</v>
      </c>
      <c r="C76" s="21" t="s">
        <v>204</v>
      </c>
      <c r="D76" s="20" t="s">
        <v>205</v>
      </c>
      <c r="E76" s="26" t="s">
        <v>206</v>
      </c>
      <c r="F76" s="43" t="s">
        <v>194</v>
      </c>
      <c r="G76" s="22"/>
      <c r="H76" s="29">
        <v>2</v>
      </c>
      <c r="I76" s="22"/>
      <c r="J76" s="38">
        <v>46343</v>
      </c>
      <c r="K76" s="38">
        <v>46346</v>
      </c>
      <c r="L76" s="22"/>
    </row>
    <row r="77" spans="2:12" ht="14.4" customHeight="1" x14ac:dyDescent="0.3">
      <c r="B77" s="21" t="s">
        <v>203</v>
      </c>
      <c r="C77" s="21" t="s">
        <v>207</v>
      </c>
      <c r="D77" s="20" t="s">
        <v>205</v>
      </c>
      <c r="E77" s="26" t="s">
        <v>208</v>
      </c>
      <c r="F77" s="43" t="s">
        <v>194</v>
      </c>
      <c r="G77" s="22"/>
      <c r="H77" s="29">
        <v>2</v>
      </c>
      <c r="I77" s="22"/>
      <c r="J77" s="38">
        <v>46343</v>
      </c>
      <c r="K77" s="38">
        <v>46346</v>
      </c>
      <c r="L77" s="22"/>
    </row>
    <row r="78" spans="2:12" ht="14.4" customHeight="1" x14ac:dyDescent="0.3">
      <c r="B78" s="21" t="s">
        <v>203</v>
      </c>
      <c r="C78" s="21" t="s">
        <v>209</v>
      </c>
      <c r="D78" s="20" t="s">
        <v>205</v>
      </c>
      <c r="E78" s="26" t="s">
        <v>210</v>
      </c>
      <c r="F78" s="43" t="s">
        <v>194</v>
      </c>
      <c r="G78" s="22"/>
      <c r="H78" s="29">
        <v>2</v>
      </c>
      <c r="I78" s="22"/>
      <c r="J78" s="38">
        <v>46343</v>
      </c>
      <c r="K78" s="38">
        <v>46346</v>
      </c>
      <c r="L78" s="22"/>
    </row>
    <row r="79" spans="2:12" ht="14.4" customHeight="1" x14ac:dyDescent="0.3">
      <c r="B79" s="21" t="s">
        <v>211</v>
      </c>
      <c r="C79" s="21" t="s">
        <v>212</v>
      </c>
      <c r="D79" s="23" t="s">
        <v>213</v>
      </c>
      <c r="E79" s="20" t="s">
        <v>214</v>
      </c>
      <c r="F79" s="43" t="s">
        <v>215</v>
      </c>
      <c r="G79" s="22"/>
      <c r="H79" s="29">
        <v>1</v>
      </c>
      <c r="I79" s="22"/>
      <c r="J79" s="38">
        <v>46349</v>
      </c>
      <c r="K79" s="38">
        <v>46353</v>
      </c>
      <c r="L79" s="22"/>
    </row>
    <row r="80" spans="2:12" ht="14.4" customHeight="1" x14ac:dyDescent="0.3">
      <c r="B80" s="21" t="s">
        <v>211</v>
      </c>
      <c r="C80" s="21" t="s">
        <v>216</v>
      </c>
      <c r="D80" s="23" t="s">
        <v>213</v>
      </c>
      <c r="E80" s="23" t="s">
        <v>217</v>
      </c>
      <c r="F80" s="43" t="s">
        <v>215</v>
      </c>
      <c r="G80" s="22"/>
      <c r="H80" s="29">
        <v>1</v>
      </c>
      <c r="I80" s="22"/>
      <c r="J80" s="38">
        <v>46349</v>
      </c>
      <c r="K80" s="38">
        <v>46353</v>
      </c>
      <c r="L80" s="22"/>
    </row>
    <row r="81" spans="2:12" ht="14.4" customHeight="1" x14ac:dyDescent="0.3">
      <c r="B81" s="21" t="s">
        <v>211</v>
      </c>
      <c r="C81" s="21" t="s">
        <v>218</v>
      </c>
      <c r="D81" s="23" t="s">
        <v>213</v>
      </c>
      <c r="E81" s="23" t="s">
        <v>219</v>
      </c>
      <c r="F81" s="43" t="s">
        <v>215</v>
      </c>
      <c r="G81" s="22"/>
      <c r="H81" s="29">
        <v>1</v>
      </c>
      <c r="I81" s="22"/>
      <c r="J81" s="38">
        <v>46349</v>
      </c>
      <c r="K81" s="38">
        <v>46353</v>
      </c>
      <c r="L81" s="22"/>
    </row>
    <row r="82" spans="2:12" ht="14.4" customHeight="1" x14ac:dyDescent="0.3">
      <c r="B82" s="21" t="s">
        <v>211</v>
      </c>
      <c r="C82" s="21" t="s">
        <v>220</v>
      </c>
      <c r="D82" s="23" t="s">
        <v>213</v>
      </c>
      <c r="E82" s="23" t="s">
        <v>221</v>
      </c>
      <c r="F82" s="43" t="s">
        <v>215</v>
      </c>
      <c r="G82" s="22"/>
      <c r="H82" s="29">
        <v>1</v>
      </c>
      <c r="I82" s="22"/>
      <c r="J82" s="38">
        <v>46349</v>
      </c>
      <c r="K82" s="38">
        <v>46353</v>
      </c>
      <c r="L82" s="22"/>
    </row>
    <row r="83" spans="2:12" ht="14.4" customHeight="1" x14ac:dyDescent="0.3">
      <c r="B83" s="21" t="s">
        <v>211</v>
      </c>
      <c r="C83" s="21" t="s">
        <v>222</v>
      </c>
      <c r="D83" s="23" t="s">
        <v>213</v>
      </c>
      <c r="E83" s="26" t="s">
        <v>223</v>
      </c>
      <c r="F83" s="43" t="s">
        <v>215</v>
      </c>
      <c r="G83" s="22"/>
      <c r="H83" s="29">
        <v>1</v>
      </c>
      <c r="I83" s="22"/>
      <c r="J83" s="38">
        <v>46349</v>
      </c>
      <c r="K83" s="38">
        <v>46353</v>
      </c>
      <c r="L83" s="22"/>
    </row>
    <row r="84" spans="2:12" ht="14.4" customHeight="1" x14ac:dyDescent="0.3">
      <c r="B84" s="21" t="s">
        <v>211</v>
      </c>
      <c r="C84" s="21" t="s">
        <v>224</v>
      </c>
      <c r="D84" s="23" t="s">
        <v>213</v>
      </c>
      <c r="E84" s="26" t="s">
        <v>225</v>
      </c>
      <c r="F84" s="43" t="s">
        <v>215</v>
      </c>
      <c r="G84" s="22"/>
      <c r="H84" s="29">
        <v>1</v>
      </c>
      <c r="I84" s="22"/>
      <c r="J84" s="38">
        <v>46349</v>
      </c>
      <c r="K84" s="38">
        <v>46353</v>
      </c>
      <c r="L84" s="22"/>
    </row>
    <row r="85" spans="2:12" ht="14.4" customHeight="1" x14ac:dyDescent="0.3">
      <c r="B85" s="21" t="s">
        <v>211</v>
      </c>
      <c r="C85" s="21" t="s">
        <v>226</v>
      </c>
      <c r="D85" s="23" t="s">
        <v>227</v>
      </c>
      <c r="E85" s="23" t="s">
        <v>228</v>
      </c>
      <c r="F85" s="43" t="s">
        <v>215</v>
      </c>
      <c r="G85" s="22"/>
      <c r="H85" s="29">
        <v>1</v>
      </c>
      <c r="I85" s="22"/>
      <c r="J85" s="38">
        <v>46349</v>
      </c>
      <c r="K85" s="38">
        <v>46353</v>
      </c>
      <c r="L85" s="22"/>
    </row>
    <row r="86" spans="2:12" x14ac:dyDescent="0.3">
      <c r="E86" s="24"/>
      <c r="F86" s="24"/>
    </row>
    <row r="87" spans="2:12" x14ac:dyDescent="0.3">
      <c r="E87" s="24"/>
      <c r="F87" s="24"/>
    </row>
    <row r="88" spans="2:12" x14ac:dyDescent="0.3">
      <c r="E88" s="24"/>
      <c r="F88" s="24"/>
    </row>
    <row r="89" spans="2:12" x14ac:dyDescent="0.3">
      <c r="E89" s="24"/>
      <c r="F89" s="24"/>
    </row>
    <row r="90" spans="2:12" x14ac:dyDescent="0.3">
      <c r="E90" s="24"/>
      <c r="F90" s="24"/>
    </row>
    <row r="91" spans="2:12" x14ac:dyDescent="0.3">
      <c r="E91" s="24"/>
      <c r="F91" s="24"/>
    </row>
    <row r="92" spans="2:12" x14ac:dyDescent="0.3">
      <c r="E92" s="24"/>
      <c r="F92" s="24"/>
    </row>
    <row r="93" spans="2:12" x14ac:dyDescent="0.3">
      <c r="E93" s="24"/>
      <c r="F93" s="24"/>
    </row>
    <row r="94" spans="2:12" x14ac:dyDescent="0.3">
      <c r="E94" s="24"/>
      <c r="F94" s="24"/>
    </row>
    <row r="95" spans="2:12" x14ac:dyDescent="0.3">
      <c r="E95" s="24"/>
      <c r="F95" s="24"/>
    </row>
    <row r="96" spans="2:12" x14ac:dyDescent="0.3">
      <c r="E96" s="24"/>
      <c r="F96" s="24"/>
    </row>
    <row r="97" spans="5:6" x14ac:dyDescent="0.3">
      <c r="E97" s="24"/>
      <c r="F97" s="24"/>
    </row>
    <row r="98" spans="5:6" x14ac:dyDescent="0.3">
      <c r="E98" s="24"/>
      <c r="F98" s="24"/>
    </row>
    <row r="99" spans="5:6" x14ac:dyDescent="0.3">
      <c r="E99" s="24"/>
      <c r="F99" s="24"/>
    </row>
    <row r="100" spans="5:6" x14ac:dyDescent="0.3">
      <c r="E100" s="24"/>
      <c r="F100" s="24"/>
    </row>
    <row r="101" spans="5:6" x14ac:dyDescent="0.3">
      <c r="E101" s="24"/>
      <c r="F101" s="24"/>
    </row>
    <row r="102" spans="5:6" x14ac:dyDescent="0.3">
      <c r="E102" s="24"/>
      <c r="F102" s="24"/>
    </row>
    <row r="103" spans="5:6" x14ac:dyDescent="0.3">
      <c r="E103" s="24"/>
      <c r="F103" s="24"/>
    </row>
    <row r="104" spans="5:6" x14ac:dyDescent="0.3">
      <c r="E104" s="24"/>
      <c r="F104" s="24"/>
    </row>
    <row r="105" spans="5:6" x14ac:dyDescent="0.3">
      <c r="E105" s="24"/>
      <c r="F105" s="24"/>
    </row>
    <row r="106" spans="5:6" x14ac:dyDescent="0.3">
      <c r="E106" s="24"/>
      <c r="F106" s="24"/>
    </row>
    <row r="107" spans="5:6" x14ac:dyDescent="0.3">
      <c r="E107" s="24"/>
      <c r="F107" s="24"/>
    </row>
    <row r="108" spans="5:6" x14ac:dyDescent="0.3">
      <c r="E108" s="24"/>
      <c r="F108" s="24"/>
    </row>
    <row r="109" spans="5:6" x14ac:dyDescent="0.3">
      <c r="E109" s="24"/>
      <c r="F109" s="24"/>
    </row>
    <row r="110" spans="5:6" x14ac:dyDescent="0.3">
      <c r="E110" s="24"/>
      <c r="F110" s="24"/>
    </row>
    <row r="111" spans="5:6" x14ac:dyDescent="0.3">
      <c r="E111" s="24"/>
      <c r="F111" s="24"/>
    </row>
    <row r="112" spans="5:6" x14ac:dyDescent="0.3">
      <c r="E112" s="24"/>
      <c r="F112" s="24"/>
    </row>
    <row r="113" spans="5:6" x14ac:dyDescent="0.3">
      <c r="E113" s="24"/>
      <c r="F113" s="24"/>
    </row>
    <row r="114" spans="5:6" x14ac:dyDescent="0.3">
      <c r="E114" s="24"/>
      <c r="F114" s="24"/>
    </row>
    <row r="115" spans="5:6" x14ac:dyDescent="0.3">
      <c r="E115" s="24"/>
      <c r="F115" s="24"/>
    </row>
    <row r="116" spans="5:6" x14ac:dyDescent="0.3">
      <c r="E116" s="24"/>
      <c r="F116" s="24"/>
    </row>
    <row r="117" spans="5:6" x14ac:dyDescent="0.3">
      <c r="E117" s="24"/>
      <c r="F117" s="24"/>
    </row>
    <row r="118" spans="5:6" x14ac:dyDescent="0.3">
      <c r="E118" s="24"/>
      <c r="F118" s="24"/>
    </row>
    <row r="119" spans="5:6" x14ac:dyDescent="0.3">
      <c r="E119" s="24"/>
      <c r="F119" s="24"/>
    </row>
    <row r="120" spans="5:6" x14ac:dyDescent="0.3">
      <c r="E120" s="24"/>
      <c r="F120" s="24"/>
    </row>
    <row r="121" spans="5:6" x14ac:dyDescent="0.3">
      <c r="E121" s="24"/>
      <c r="F121" s="24"/>
    </row>
    <row r="122" spans="5:6" x14ac:dyDescent="0.3">
      <c r="E122" s="24"/>
      <c r="F122" s="24"/>
    </row>
    <row r="123" spans="5:6" x14ac:dyDescent="0.3">
      <c r="E123" s="24"/>
      <c r="F123" s="24"/>
    </row>
    <row r="124" spans="5:6" x14ac:dyDescent="0.3">
      <c r="E124" s="24"/>
      <c r="F124" s="24"/>
    </row>
    <row r="125" spans="5:6" x14ac:dyDescent="0.3">
      <c r="E125" s="24"/>
      <c r="F125" s="24"/>
    </row>
    <row r="126" spans="5:6" x14ac:dyDescent="0.3">
      <c r="E126" s="24"/>
      <c r="F126" s="24"/>
    </row>
    <row r="127" spans="5:6" x14ac:dyDescent="0.3">
      <c r="E127" s="24"/>
      <c r="F127" s="24"/>
    </row>
    <row r="128" spans="5:6" x14ac:dyDescent="0.3">
      <c r="E128" s="24"/>
      <c r="F128" s="24"/>
    </row>
    <row r="129" spans="5:6" x14ac:dyDescent="0.3">
      <c r="E129" s="24"/>
      <c r="F129" s="24"/>
    </row>
    <row r="130" spans="5:6" x14ac:dyDescent="0.3">
      <c r="E130" s="24"/>
      <c r="F130" s="24"/>
    </row>
    <row r="131" spans="5:6" x14ac:dyDescent="0.3">
      <c r="E131" s="24"/>
      <c r="F131" s="24"/>
    </row>
    <row r="132" spans="5:6" x14ac:dyDescent="0.3">
      <c r="E132" s="24"/>
      <c r="F132" s="24"/>
    </row>
    <row r="133" spans="5:6" x14ac:dyDescent="0.3">
      <c r="E133" s="24"/>
      <c r="F133" s="24"/>
    </row>
    <row r="134" spans="5:6" x14ac:dyDescent="0.3">
      <c r="E134" s="24"/>
      <c r="F134" s="24"/>
    </row>
    <row r="135" spans="5:6" x14ac:dyDescent="0.3">
      <c r="E135" s="24"/>
      <c r="F135" s="24"/>
    </row>
    <row r="136" spans="5:6" x14ac:dyDescent="0.3">
      <c r="E136" s="24"/>
      <c r="F136" s="24"/>
    </row>
    <row r="137" spans="5:6" x14ac:dyDescent="0.3">
      <c r="E137" s="24"/>
      <c r="F137" s="24"/>
    </row>
    <row r="138" spans="5:6" x14ac:dyDescent="0.3">
      <c r="E138" s="24"/>
      <c r="F138" s="24"/>
    </row>
    <row r="139" spans="5:6" x14ac:dyDescent="0.3">
      <c r="E139" s="24"/>
      <c r="F139" s="24"/>
    </row>
    <row r="140" spans="5:6" x14ac:dyDescent="0.3">
      <c r="E140" s="24"/>
      <c r="F140" s="24"/>
    </row>
    <row r="141" spans="5:6" x14ac:dyDescent="0.3">
      <c r="E141" s="24"/>
      <c r="F141" s="24"/>
    </row>
    <row r="142" spans="5:6" x14ac:dyDescent="0.3">
      <c r="E142" s="24"/>
      <c r="F142" s="24"/>
    </row>
    <row r="143" spans="5:6" x14ac:dyDescent="0.3">
      <c r="E143" s="24"/>
      <c r="F143" s="24"/>
    </row>
    <row r="144" spans="5:6" x14ac:dyDescent="0.3">
      <c r="E144" s="24"/>
      <c r="F144" s="24"/>
    </row>
    <row r="145" spans="5:6" x14ac:dyDescent="0.3">
      <c r="E145" s="24"/>
      <c r="F145" s="24"/>
    </row>
    <row r="146" spans="5:6" x14ac:dyDescent="0.3">
      <c r="E146" s="24"/>
      <c r="F146" s="24"/>
    </row>
    <row r="147" spans="5:6" x14ac:dyDescent="0.3">
      <c r="E147" s="24"/>
      <c r="F147" s="24"/>
    </row>
    <row r="148" spans="5:6" x14ac:dyDescent="0.3">
      <c r="E148" s="24"/>
      <c r="F148" s="24"/>
    </row>
    <row r="149" spans="5:6" x14ac:dyDescent="0.3">
      <c r="E149" s="24"/>
      <c r="F149" s="24"/>
    </row>
    <row r="150" spans="5:6" x14ac:dyDescent="0.3">
      <c r="E150" s="24"/>
      <c r="F150" s="24"/>
    </row>
    <row r="151" spans="5:6" x14ac:dyDescent="0.3">
      <c r="E151" s="24"/>
      <c r="F151" s="24"/>
    </row>
    <row r="152" spans="5:6" x14ac:dyDescent="0.3">
      <c r="E152" s="24"/>
      <c r="F152" s="24"/>
    </row>
    <row r="153" spans="5:6" x14ac:dyDescent="0.3">
      <c r="E153" s="24"/>
      <c r="F153" s="24"/>
    </row>
    <row r="154" spans="5:6" x14ac:dyDescent="0.3">
      <c r="E154" s="24"/>
      <c r="F154" s="24"/>
    </row>
    <row r="155" spans="5:6" x14ac:dyDescent="0.3">
      <c r="E155" s="24"/>
      <c r="F155" s="24"/>
    </row>
    <row r="156" spans="5:6" x14ac:dyDescent="0.3">
      <c r="E156" s="24"/>
      <c r="F156" s="24"/>
    </row>
    <row r="157" spans="5:6" x14ac:dyDescent="0.3">
      <c r="E157" s="24"/>
      <c r="F157" s="24"/>
    </row>
    <row r="158" spans="5:6" x14ac:dyDescent="0.3">
      <c r="E158" s="24"/>
      <c r="F158" s="24"/>
    </row>
    <row r="159" spans="5:6" x14ac:dyDescent="0.3">
      <c r="E159" s="24"/>
      <c r="F159" s="24"/>
    </row>
    <row r="160" spans="5:6" x14ac:dyDescent="0.3">
      <c r="E160" s="24"/>
      <c r="F160" s="24"/>
    </row>
    <row r="161" spans="5:6" x14ac:dyDescent="0.3">
      <c r="E161" s="24"/>
      <c r="F161" s="24"/>
    </row>
    <row r="162" spans="5:6" x14ac:dyDescent="0.3">
      <c r="E162" s="24"/>
      <c r="F162" s="24"/>
    </row>
    <row r="163" spans="5:6" x14ac:dyDescent="0.3">
      <c r="E163" s="24"/>
      <c r="F163" s="24"/>
    </row>
    <row r="164" spans="5:6" x14ac:dyDescent="0.3">
      <c r="E164" s="24"/>
      <c r="F164" s="24"/>
    </row>
    <row r="165" spans="5:6" x14ac:dyDescent="0.3">
      <c r="E165" s="24"/>
      <c r="F165" s="24"/>
    </row>
    <row r="166" spans="5:6" x14ac:dyDescent="0.3">
      <c r="E166" s="24"/>
      <c r="F166" s="24"/>
    </row>
    <row r="167" spans="5:6" x14ac:dyDescent="0.3">
      <c r="E167" s="24"/>
      <c r="F167" s="24"/>
    </row>
    <row r="168" spans="5:6" x14ac:dyDescent="0.3">
      <c r="E168" s="24"/>
      <c r="F168" s="24"/>
    </row>
    <row r="169" spans="5:6" x14ac:dyDescent="0.3">
      <c r="E169" s="24"/>
      <c r="F169" s="24"/>
    </row>
    <row r="170" spans="5:6" x14ac:dyDescent="0.3">
      <c r="E170" s="24"/>
      <c r="F170" s="24"/>
    </row>
    <row r="171" spans="5:6" x14ac:dyDescent="0.3">
      <c r="E171" s="24"/>
      <c r="F171" s="24"/>
    </row>
    <row r="172" spans="5:6" x14ac:dyDescent="0.3">
      <c r="E172" s="24"/>
      <c r="F172" s="24"/>
    </row>
    <row r="173" spans="5:6" x14ac:dyDescent="0.3">
      <c r="E173" s="24"/>
      <c r="F173" s="24"/>
    </row>
    <row r="174" spans="5:6" x14ac:dyDescent="0.3">
      <c r="E174" s="24"/>
      <c r="F174" s="24"/>
    </row>
    <row r="175" spans="5:6" x14ac:dyDescent="0.3">
      <c r="E175" s="24"/>
      <c r="F175" s="24"/>
    </row>
    <row r="176" spans="5:6" x14ac:dyDescent="0.3">
      <c r="E176" s="24"/>
      <c r="F176" s="24"/>
    </row>
    <row r="177" spans="5:6" x14ac:dyDescent="0.3">
      <c r="E177" s="24"/>
      <c r="F177" s="24"/>
    </row>
    <row r="178" spans="5:6" x14ac:dyDescent="0.3">
      <c r="E178" s="24"/>
      <c r="F178" s="24"/>
    </row>
    <row r="179" spans="5:6" x14ac:dyDescent="0.3">
      <c r="E179" s="24"/>
      <c r="F179" s="24"/>
    </row>
    <row r="180" spans="5:6" x14ac:dyDescent="0.3">
      <c r="E180" s="24"/>
      <c r="F180" s="24"/>
    </row>
    <row r="181" spans="5:6" x14ac:dyDescent="0.3">
      <c r="E181" s="24"/>
      <c r="F181" s="24"/>
    </row>
    <row r="182" spans="5:6" x14ac:dyDescent="0.3">
      <c r="E182" s="24"/>
      <c r="F182" s="24"/>
    </row>
    <row r="183" spans="5:6" x14ac:dyDescent="0.3">
      <c r="E183" s="24"/>
      <c r="F183" s="24"/>
    </row>
    <row r="184" spans="5:6" x14ac:dyDescent="0.3">
      <c r="E184" s="24"/>
      <c r="F184" s="24"/>
    </row>
    <row r="185" spans="5:6" x14ac:dyDescent="0.3">
      <c r="E185" s="24"/>
      <c r="F185" s="24"/>
    </row>
    <row r="186" spans="5:6" x14ac:dyDescent="0.3">
      <c r="E186" s="24"/>
      <c r="F186" s="24"/>
    </row>
    <row r="187" spans="5:6" x14ac:dyDescent="0.3">
      <c r="E187" s="24"/>
      <c r="F187" s="24"/>
    </row>
    <row r="188" spans="5:6" x14ac:dyDescent="0.3">
      <c r="E188" s="24"/>
      <c r="F188" s="24"/>
    </row>
    <row r="189" spans="5:6" x14ac:dyDescent="0.3">
      <c r="E189" s="24"/>
      <c r="F189" s="24"/>
    </row>
    <row r="190" spans="5:6" x14ac:dyDescent="0.3">
      <c r="E190" s="24"/>
      <c r="F190" s="24"/>
    </row>
    <row r="191" spans="5:6" x14ac:dyDescent="0.3">
      <c r="E191" s="24"/>
      <c r="F191" s="24"/>
    </row>
    <row r="192" spans="5:6" x14ac:dyDescent="0.3">
      <c r="E192" s="24"/>
      <c r="F192" s="24"/>
    </row>
    <row r="193" spans="5:6" x14ac:dyDescent="0.3">
      <c r="E193" s="24"/>
      <c r="F193" s="24"/>
    </row>
    <row r="194" spans="5:6" x14ac:dyDescent="0.3">
      <c r="E194" s="24"/>
      <c r="F194" s="24"/>
    </row>
    <row r="195" spans="5:6" x14ac:dyDescent="0.3">
      <c r="E195" s="24"/>
      <c r="F195" s="24"/>
    </row>
    <row r="196" spans="5:6" x14ac:dyDescent="0.3">
      <c r="E196" s="24"/>
      <c r="F196" s="24"/>
    </row>
    <row r="197" spans="5:6" x14ac:dyDescent="0.3">
      <c r="E197" s="24"/>
      <c r="F197" s="24"/>
    </row>
    <row r="198" spans="5:6" x14ac:dyDescent="0.3">
      <c r="E198" s="24"/>
      <c r="F198" s="24"/>
    </row>
    <row r="199" spans="5:6" x14ac:dyDescent="0.3">
      <c r="E199" s="24"/>
      <c r="F199" s="24"/>
    </row>
    <row r="200" spans="5:6" x14ac:dyDescent="0.3">
      <c r="E200" s="24"/>
      <c r="F200" s="24"/>
    </row>
    <row r="201" spans="5:6" x14ac:dyDescent="0.3">
      <c r="E201" s="24"/>
      <c r="F201" s="24"/>
    </row>
    <row r="202" spans="5:6" x14ac:dyDescent="0.3">
      <c r="E202" s="24"/>
      <c r="F202" s="24"/>
    </row>
    <row r="203" spans="5:6" x14ac:dyDescent="0.3">
      <c r="E203" s="24"/>
      <c r="F203" s="24"/>
    </row>
    <row r="204" spans="5:6" x14ac:dyDescent="0.3">
      <c r="E204" s="24"/>
      <c r="F204" s="24"/>
    </row>
    <row r="205" spans="5:6" x14ac:dyDescent="0.3">
      <c r="E205" s="24"/>
      <c r="F205" s="24"/>
    </row>
    <row r="206" spans="5:6" x14ac:dyDescent="0.3">
      <c r="E206" s="24"/>
      <c r="F206" s="24"/>
    </row>
    <row r="207" spans="5:6" x14ac:dyDescent="0.3">
      <c r="E207" s="24"/>
      <c r="F207" s="24"/>
    </row>
    <row r="208" spans="5:6" x14ac:dyDescent="0.3">
      <c r="E208" s="24"/>
      <c r="F208" s="24"/>
    </row>
    <row r="209" spans="5:6" x14ac:dyDescent="0.3">
      <c r="E209" s="24"/>
      <c r="F209" s="24"/>
    </row>
    <row r="210" spans="5:6" x14ac:dyDescent="0.3">
      <c r="E210" s="24"/>
      <c r="F210" s="24"/>
    </row>
    <row r="211" spans="5:6" x14ac:dyDescent="0.3">
      <c r="E211" s="24"/>
      <c r="F211" s="24"/>
    </row>
    <row r="212" spans="5:6" x14ac:dyDescent="0.3">
      <c r="E212" s="24"/>
      <c r="F212" s="24"/>
    </row>
    <row r="213" spans="5:6" x14ac:dyDescent="0.3">
      <c r="E213" s="24"/>
      <c r="F213" s="24"/>
    </row>
    <row r="214" spans="5:6" x14ac:dyDescent="0.3">
      <c r="E214" s="24"/>
      <c r="F214" s="24"/>
    </row>
    <row r="215" spans="5:6" x14ac:dyDescent="0.3">
      <c r="E215" s="24"/>
      <c r="F215" s="24"/>
    </row>
    <row r="216" spans="5:6" x14ac:dyDescent="0.3">
      <c r="E216" s="24"/>
      <c r="F216" s="24"/>
    </row>
    <row r="217" spans="5:6" x14ac:dyDescent="0.3">
      <c r="E217" s="24"/>
      <c r="F217" s="24"/>
    </row>
    <row r="218" spans="5:6" x14ac:dyDescent="0.3">
      <c r="E218" s="24"/>
      <c r="F218" s="24"/>
    </row>
    <row r="219" spans="5:6" x14ac:dyDescent="0.3">
      <c r="E219" s="24"/>
      <c r="F219" s="24"/>
    </row>
    <row r="220" spans="5:6" x14ac:dyDescent="0.3">
      <c r="E220" s="24"/>
      <c r="F220" s="24"/>
    </row>
    <row r="221" spans="5:6" x14ac:dyDescent="0.3">
      <c r="E221" s="24"/>
      <c r="F221" s="24"/>
    </row>
    <row r="222" spans="5:6" x14ac:dyDescent="0.3">
      <c r="E222" s="24"/>
      <c r="F222" s="24"/>
    </row>
    <row r="223" spans="5:6" x14ac:dyDescent="0.3">
      <c r="E223" s="24"/>
      <c r="F223" s="24"/>
    </row>
    <row r="224" spans="5:6" x14ac:dyDescent="0.3">
      <c r="E224" s="24"/>
      <c r="F224" s="24"/>
    </row>
    <row r="225" spans="5:6" x14ac:dyDescent="0.3">
      <c r="E225" s="24"/>
      <c r="F225" s="24"/>
    </row>
    <row r="226" spans="5:6" x14ac:dyDescent="0.3">
      <c r="E226" s="24"/>
      <c r="F226" s="24"/>
    </row>
    <row r="227" spans="5:6" x14ac:dyDescent="0.3">
      <c r="E227" s="24"/>
      <c r="F227" s="24"/>
    </row>
    <row r="228" spans="5:6" x14ac:dyDescent="0.3">
      <c r="E228" s="24"/>
      <c r="F228" s="24"/>
    </row>
    <row r="229" spans="5:6" x14ac:dyDescent="0.3">
      <c r="E229" s="24"/>
      <c r="F229" s="24"/>
    </row>
    <row r="230" spans="5:6" x14ac:dyDescent="0.3">
      <c r="E230" s="24"/>
      <c r="F230" s="24"/>
    </row>
    <row r="231" spans="5:6" x14ac:dyDescent="0.3">
      <c r="E231" s="24"/>
      <c r="F231" s="24"/>
    </row>
    <row r="232" spans="5:6" x14ac:dyDescent="0.3">
      <c r="E232" s="24"/>
      <c r="F232" s="24"/>
    </row>
    <row r="233" spans="5:6" x14ac:dyDescent="0.3">
      <c r="E233" s="24"/>
      <c r="F233" s="24"/>
    </row>
    <row r="234" spans="5:6" x14ac:dyDescent="0.3">
      <c r="E234" s="24"/>
      <c r="F234" s="24"/>
    </row>
    <row r="235" spans="5:6" x14ac:dyDescent="0.3">
      <c r="E235" s="24"/>
      <c r="F235" s="24"/>
    </row>
    <row r="236" spans="5:6" x14ac:dyDescent="0.3">
      <c r="E236" s="24"/>
      <c r="F236" s="24"/>
    </row>
    <row r="237" spans="5:6" x14ac:dyDescent="0.3">
      <c r="E237" s="24"/>
      <c r="F237" s="24"/>
    </row>
    <row r="238" spans="5:6" x14ac:dyDescent="0.3">
      <c r="E238" s="24"/>
      <c r="F238" s="24"/>
    </row>
    <row r="239" spans="5:6" x14ac:dyDescent="0.3">
      <c r="E239" s="24"/>
      <c r="F239" s="24"/>
    </row>
    <row r="240" spans="5:6" x14ac:dyDescent="0.3">
      <c r="E240" s="24"/>
      <c r="F240" s="24"/>
    </row>
    <row r="241" spans="5:6" x14ac:dyDescent="0.3">
      <c r="E241" s="24"/>
      <c r="F241" s="24"/>
    </row>
    <row r="242" spans="5:6" x14ac:dyDescent="0.3">
      <c r="E242" s="24"/>
      <c r="F242" s="24"/>
    </row>
    <row r="243" spans="5:6" x14ac:dyDescent="0.3">
      <c r="E243" s="24"/>
      <c r="F243" s="24"/>
    </row>
    <row r="244" spans="5:6" x14ac:dyDescent="0.3">
      <c r="E244" s="24"/>
      <c r="F244" s="24"/>
    </row>
    <row r="245" spans="5:6" x14ac:dyDescent="0.3">
      <c r="E245" s="24"/>
      <c r="F245" s="24"/>
    </row>
  </sheetData>
  <autoFilter ref="B3:L8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P133"/>
  <sheetViews>
    <sheetView showGridLines="0" workbookViewId="0">
      <pane xSplit="2" ySplit="5" topLeftCell="C93" activePane="bottomRight" state="frozen"/>
      <selection pane="topRight"/>
      <selection pane="bottomLeft"/>
      <selection pane="bottomRight" activeCell="B103" sqref="B103:P103"/>
    </sheetView>
  </sheetViews>
  <sheetFormatPr defaultRowHeight="14.4" x14ac:dyDescent="0.3"/>
  <cols>
    <col min="1" max="1" width="2" customWidth="1"/>
    <col min="2" max="3" width="6" customWidth="1"/>
    <col min="4" max="4" width="9.44140625" customWidth="1"/>
    <col min="5" max="5" width="34" customWidth="1"/>
    <col min="6" max="6" width="8.44140625" customWidth="1"/>
    <col min="7" max="7" width="64" customWidth="1"/>
    <col min="8" max="8" width="8" customWidth="1"/>
    <col min="9" max="9" width="11" customWidth="1"/>
    <col min="10" max="10" width="18" customWidth="1"/>
    <col min="11" max="12" width="11" customWidth="1"/>
    <col min="13" max="13" width="24" customWidth="1"/>
    <col min="14" max="14" width="70" customWidth="1"/>
    <col min="15" max="15" width="13" customWidth="1"/>
    <col min="16" max="16" width="70" customWidth="1"/>
  </cols>
  <sheetData>
    <row r="1" spans="2:16" ht="18.75" customHeight="1" x14ac:dyDescent="0.35">
      <c r="B1" s="46" t="s">
        <v>292</v>
      </c>
    </row>
    <row r="2" spans="2:16" ht="27.9" customHeight="1" x14ac:dyDescent="0.3">
      <c r="B2" s="73" t="s">
        <v>293</v>
      </c>
      <c r="C2" s="72"/>
      <c r="D2" s="72"/>
      <c r="E2" s="72"/>
      <c r="F2" s="72"/>
      <c r="G2" s="72"/>
      <c r="H2" s="72"/>
      <c r="I2" s="72"/>
    </row>
    <row r="3" spans="2:16" x14ac:dyDescent="0.3">
      <c r="B3" s="75" t="s">
        <v>294</v>
      </c>
      <c r="C3" s="72"/>
      <c r="D3" s="72"/>
      <c r="E3" s="48">
        <v>46293</v>
      </c>
      <c r="H3" s="47" t="s">
        <v>295</v>
      </c>
      <c r="I3" s="49">
        <f>SUM(I6:I116)</f>
        <v>62.199999999999996</v>
      </c>
      <c r="J3" s="47" t="s">
        <v>296</v>
      </c>
      <c r="K3" s="50">
        <f>MAX(L6:L116)</f>
        <v>46393</v>
      </c>
    </row>
    <row r="5" spans="2:16" ht="30" customHeight="1" x14ac:dyDescent="0.3">
      <c r="B5" s="14" t="s">
        <v>297</v>
      </c>
      <c r="C5" s="14" t="s">
        <v>298</v>
      </c>
      <c r="D5" s="14" t="s">
        <v>0</v>
      </c>
      <c r="E5" s="14" t="s">
        <v>2</v>
      </c>
      <c r="F5" s="14" t="s">
        <v>1</v>
      </c>
      <c r="G5" s="14" t="s">
        <v>4</v>
      </c>
      <c r="H5" s="14" t="s">
        <v>3</v>
      </c>
      <c r="I5" s="14" t="s">
        <v>5</v>
      </c>
      <c r="J5" s="14" t="s">
        <v>299</v>
      </c>
      <c r="K5" s="14" t="s">
        <v>7</v>
      </c>
      <c r="L5" s="14" t="s">
        <v>8</v>
      </c>
      <c r="M5" s="14" t="s">
        <v>300</v>
      </c>
      <c r="N5" s="14" t="s">
        <v>301</v>
      </c>
      <c r="O5" s="14" t="s">
        <v>302</v>
      </c>
      <c r="P5" s="14" t="s">
        <v>303</v>
      </c>
    </row>
    <row r="6" spans="2:16" ht="27" customHeight="1" x14ac:dyDescent="0.3">
      <c r="B6" s="51">
        <v>1</v>
      </c>
      <c r="C6" s="51">
        <v>1</v>
      </c>
      <c r="D6" s="51" t="s">
        <v>10</v>
      </c>
      <c r="E6" s="52" t="s">
        <v>12</v>
      </c>
      <c r="F6" s="51" t="s">
        <v>11</v>
      </c>
      <c r="G6" s="52" t="s">
        <v>13</v>
      </c>
      <c r="H6" s="53" t="s">
        <v>14</v>
      </c>
      <c r="I6" s="51">
        <v>2</v>
      </c>
      <c r="J6" s="52" t="s">
        <v>304</v>
      </c>
      <c r="K6" s="54">
        <f>WORKDAY(E3-1,1)</f>
        <v>46293</v>
      </c>
      <c r="L6" s="54">
        <f t="shared" ref="L6:L37" si="0">WORKDAY(K6,MAX(1,ROUNDUP(SUMIF($B$6:$B$116,B6,$I$6:$I$116),0))-1)</f>
        <v>46294</v>
      </c>
      <c r="M6" s="52" t="s">
        <v>305</v>
      </c>
      <c r="N6" s="52" t="s">
        <v>306</v>
      </c>
      <c r="O6" s="62" t="s">
        <v>307</v>
      </c>
      <c r="P6" s="63" t="s">
        <v>308</v>
      </c>
    </row>
    <row r="7" spans="2:16" ht="40.5" customHeight="1" x14ac:dyDescent="0.3">
      <c r="B7" s="55">
        <v>2</v>
      </c>
      <c r="C7" s="55">
        <v>2</v>
      </c>
      <c r="D7" s="55" t="s">
        <v>15</v>
      </c>
      <c r="E7" s="56" t="s">
        <v>133</v>
      </c>
      <c r="F7" s="55" t="s">
        <v>132</v>
      </c>
      <c r="G7" s="56" t="s">
        <v>134</v>
      </c>
      <c r="H7" s="57" t="s">
        <v>19</v>
      </c>
      <c r="I7" s="51">
        <v>0.75</v>
      </c>
      <c r="J7" s="52" t="s">
        <v>11</v>
      </c>
      <c r="K7" s="54">
        <f t="shared" ref="K7:K38" si="1">IF(B7=B6,K6,WORKDAY(L6,1))</f>
        <v>46295</v>
      </c>
      <c r="L7" s="54">
        <f t="shared" si="0"/>
        <v>46296</v>
      </c>
      <c r="M7" s="52" t="s">
        <v>309</v>
      </c>
      <c r="N7" s="52" t="s">
        <v>310</v>
      </c>
      <c r="O7" s="62" t="s">
        <v>311</v>
      </c>
      <c r="P7" s="63" t="s">
        <v>312</v>
      </c>
    </row>
    <row r="8" spans="2:16" ht="27" customHeight="1" x14ac:dyDescent="0.3">
      <c r="B8" s="55">
        <v>2</v>
      </c>
      <c r="C8" s="55">
        <v>3</v>
      </c>
      <c r="D8" s="55" t="s">
        <v>15</v>
      </c>
      <c r="E8" s="56" t="s">
        <v>133</v>
      </c>
      <c r="F8" s="55" t="s">
        <v>136</v>
      </c>
      <c r="G8" s="56" t="s">
        <v>137</v>
      </c>
      <c r="H8" s="57" t="s">
        <v>19</v>
      </c>
      <c r="I8" s="51">
        <v>0.75</v>
      </c>
      <c r="J8" s="52" t="s">
        <v>132</v>
      </c>
      <c r="K8" s="54">
        <f t="shared" si="1"/>
        <v>46295</v>
      </c>
      <c r="L8" s="54">
        <f t="shared" si="0"/>
        <v>46296</v>
      </c>
      <c r="M8" s="52" t="s">
        <v>313</v>
      </c>
      <c r="N8" s="52" t="s">
        <v>314</v>
      </c>
      <c r="O8" s="62" t="s">
        <v>311</v>
      </c>
      <c r="P8" s="63" t="s">
        <v>315</v>
      </c>
    </row>
    <row r="9" spans="2:16" ht="27" customHeight="1" x14ac:dyDescent="0.3">
      <c r="B9" s="55">
        <v>3</v>
      </c>
      <c r="C9" s="55">
        <v>4</v>
      </c>
      <c r="D9" s="55" t="s">
        <v>38</v>
      </c>
      <c r="E9" s="56" t="s">
        <v>316</v>
      </c>
      <c r="F9" s="55" t="s">
        <v>139</v>
      </c>
      <c r="G9" s="56" t="s">
        <v>141</v>
      </c>
      <c r="H9" s="57" t="s">
        <v>19</v>
      </c>
      <c r="I9" s="51">
        <v>0.15</v>
      </c>
      <c r="J9" s="52" t="s">
        <v>132</v>
      </c>
      <c r="K9" s="54">
        <f t="shared" si="1"/>
        <v>46297</v>
      </c>
      <c r="L9" s="54">
        <f t="shared" si="0"/>
        <v>46297</v>
      </c>
      <c r="M9" s="52" t="s">
        <v>317</v>
      </c>
      <c r="N9" s="52" t="s">
        <v>318</v>
      </c>
      <c r="O9" s="62" t="s">
        <v>311</v>
      </c>
      <c r="P9" s="63" t="s">
        <v>319</v>
      </c>
    </row>
    <row r="10" spans="2:16" x14ac:dyDescent="0.3">
      <c r="B10" s="55">
        <v>3</v>
      </c>
      <c r="C10" s="55">
        <v>5</v>
      </c>
      <c r="D10" s="55" t="s">
        <v>38</v>
      </c>
      <c r="E10" s="56" t="s">
        <v>316</v>
      </c>
      <c r="F10" s="55" t="s">
        <v>142</v>
      </c>
      <c r="G10" s="56" t="s">
        <v>143</v>
      </c>
      <c r="H10" s="57" t="s">
        <v>19</v>
      </c>
      <c r="I10" s="51">
        <v>0.15</v>
      </c>
      <c r="J10" s="52" t="s">
        <v>139</v>
      </c>
      <c r="K10" s="54">
        <f t="shared" si="1"/>
        <v>46297</v>
      </c>
      <c r="L10" s="54">
        <f t="shared" si="0"/>
        <v>46297</v>
      </c>
      <c r="M10" s="52" t="s">
        <v>320</v>
      </c>
      <c r="N10" s="52" t="s">
        <v>321</v>
      </c>
      <c r="O10" s="62" t="s">
        <v>311</v>
      </c>
      <c r="P10" s="63" t="s">
        <v>322</v>
      </c>
    </row>
    <row r="11" spans="2:16" x14ac:dyDescent="0.3">
      <c r="B11" s="55">
        <v>4</v>
      </c>
      <c r="C11" s="55">
        <v>6</v>
      </c>
      <c r="D11" s="55" t="s">
        <v>58</v>
      </c>
      <c r="E11" s="56" t="s">
        <v>323</v>
      </c>
      <c r="F11" s="55" t="s">
        <v>39</v>
      </c>
      <c r="G11" s="56" t="s">
        <v>41</v>
      </c>
      <c r="H11" s="57" t="s">
        <v>19</v>
      </c>
      <c r="I11" s="51">
        <v>0.25</v>
      </c>
      <c r="J11" s="52" t="s">
        <v>324</v>
      </c>
      <c r="K11" s="54">
        <f t="shared" si="1"/>
        <v>46300</v>
      </c>
      <c r="L11" s="54">
        <f t="shared" si="0"/>
        <v>46302</v>
      </c>
      <c r="M11" s="52" t="s">
        <v>325</v>
      </c>
      <c r="N11" s="52" t="s">
        <v>326</v>
      </c>
      <c r="O11" s="62" t="s">
        <v>311</v>
      </c>
      <c r="P11" s="63" t="s">
        <v>327</v>
      </c>
    </row>
    <row r="12" spans="2:16" ht="27" customHeight="1" x14ac:dyDescent="0.3">
      <c r="B12" s="55">
        <v>4</v>
      </c>
      <c r="C12" s="55">
        <v>7</v>
      </c>
      <c r="D12" s="55" t="s">
        <v>58</v>
      </c>
      <c r="E12" s="56" t="s">
        <v>323</v>
      </c>
      <c r="F12" s="55" t="s">
        <v>42</v>
      </c>
      <c r="G12" s="56" t="s">
        <v>43</v>
      </c>
      <c r="H12" s="57" t="s">
        <v>19</v>
      </c>
      <c r="I12" s="51">
        <v>0.25</v>
      </c>
      <c r="J12" s="52" t="s">
        <v>11</v>
      </c>
      <c r="K12" s="54">
        <f t="shared" si="1"/>
        <v>46300</v>
      </c>
      <c r="L12" s="54">
        <f t="shared" si="0"/>
        <v>46302</v>
      </c>
      <c r="M12" s="52" t="s">
        <v>328</v>
      </c>
      <c r="N12" s="52" t="s">
        <v>329</v>
      </c>
      <c r="O12" s="62" t="s">
        <v>311</v>
      </c>
      <c r="P12" s="63" t="s">
        <v>330</v>
      </c>
    </row>
    <row r="13" spans="2:16" ht="27" customHeight="1" x14ac:dyDescent="0.3">
      <c r="B13" s="55">
        <v>4</v>
      </c>
      <c r="C13" s="55">
        <v>8</v>
      </c>
      <c r="D13" s="55" t="s">
        <v>58</v>
      </c>
      <c r="E13" s="56" t="s">
        <v>323</v>
      </c>
      <c r="F13" s="55" t="s">
        <v>44</v>
      </c>
      <c r="G13" s="56" t="s">
        <v>45</v>
      </c>
      <c r="H13" s="57" t="s">
        <v>19</v>
      </c>
      <c r="I13" s="51">
        <v>0.25</v>
      </c>
      <c r="J13" s="52" t="s">
        <v>11</v>
      </c>
      <c r="K13" s="54">
        <f t="shared" si="1"/>
        <v>46300</v>
      </c>
      <c r="L13" s="54">
        <f t="shared" si="0"/>
        <v>46302</v>
      </c>
      <c r="M13" s="52" t="s">
        <v>331</v>
      </c>
      <c r="N13" s="52" t="s">
        <v>332</v>
      </c>
      <c r="O13" s="62" t="s">
        <v>311</v>
      </c>
      <c r="P13" s="63" t="s">
        <v>333</v>
      </c>
    </row>
    <row r="14" spans="2:16" ht="27" customHeight="1" x14ac:dyDescent="0.3">
      <c r="B14" s="55">
        <v>4</v>
      </c>
      <c r="C14" s="55">
        <v>9</v>
      </c>
      <c r="D14" s="55" t="s">
        <v>58</v>
      </c>
      <c r="E14" s="56" t="s">
        <v>323</v>
      </c>
      <c r="F14" s="55" t="s">
        <v>46</v>
      </c>
      <c r="G14" s="56" t="s">
        <v>47</v>
      </c>
      <c r="H14" s="57" t="s">
        <v>19</v>
      </c>
      <c r="I14" s="51">
        <v>0.25</v>
      </c>
      <c r="J14" s="52" t="s">
        <v>334</v>
      </c>
      <c r="K14" s="54">
        <f t="shared" si="1"/>
        <v>46300</v>
      </c>
      <c r="L14" s="54">
        <f t="shared" si="0"/>
        <v>46302</v>
      </c>
      <c r="M14" s="52" t="s">
        <v>335</v>
      </c>
      <c r="N14" s="52" t="s">
        <v>336</v>
      </c>
      <c r="O14" s="62" t="s">
        <v>311</v>
      </c>
      <c r="P14" s="63" t="s">
        <v>337</v>
      </c>
    </row>
    <row r="15" spans="2:16" x14ac:dyDescent="0.3">
      <c r="B15" s="55">
        <v>4</v>
      </c>
      <c r="C15" s="55">
        <v>10</v>
      </c>
      <c r="D15" s="55" t="s">
        <v>58</v>
      </c>
      <c r="E15" s="56" t="s">
        <v>323</v>
      </c>
      <c r="F15" s="55" t="s">
        <v>48</v>
      </c>
      <c r="G15" s="56" t="s">
        <v>49</v>
      </c>
      <c r="H15" s="57" t="s">
        <v>19</v>
      </c>
      <c r="I15" s="51">
        <v>0.25</v>
      </c>
      <c r="J15" s="52" t="s">
        <v>11</v>
      </c>
      <c r="K15" s="54">
        <f t="shared" si="1"/>
        <v>46300</v>
      </c>
      <c r="L15" s="54">
        <f t="shared" si="0"/>
        <v>46302</v>
      </c>
      <c r="M15" s="52" t="s">
        <v>338</v>
      </c>
      <c r="N15" s="52" t="s">
        <v>336</v>
      </c>
      <c r="O15" s="62" t="s">
        <v>311</v>
      </c>
      <c r="P15" s="63" t="s">
        <v>339</v>
      </c>
    </row>
    <row r="16" spans="2:16" x14ac:dyDescent="0.3">
      <c r="B16" s="55">
        <v>4</v>
      </c>
      <c r="C16" s="55">
        <v>11</v>
      </c>
      <c r="D16" s="55" t="s">
        <v>58</v>
      </c>
      <c r="E16" s="56" t="s">
        <v>323</v>
      </c>
      <c r="F16" s="55" t="s">
        <v>50</v>
      </c>
      <c r="G16" s="56" t="s">
        <v>51</v>
      </c>
      <c r="H16" s="57" t="s">
        <v>19</v>
      </c>
      <c r="I16" s="51">
        <v>0.25</v>
      </c>
      <c r="J16" s="52" t="s">
        <v>11</v>
      </c>
      <c r="K16" s="54">
        <f t="shared" si="1"/>
        <v>46300</v>
      </c>
      <c r="L16" s="54">
        <f t="shared" si="0"/>
        <v>46302</v>
      </c>
      <c r="M16" s="52" t="s">
        <v>340</v>
      </c>
      <c r="N16" s="52" t="s">
        <v>336</v>
      </c>
      <c r="O16" s="62" t="s">
        <v>311</v>
      </c>
      <c r="P16" s="63" t="s">
        <v>341</v>
      </c>
    </row>
    <row r="17" spans="2:16" ht="27" customHeight="1" x14ac:dyDescent="0.3">
      <c r="B17" s="55">
        <v>4</v>
      </c>
      <c r="C17" s="55">
        <v>12</v>
      </c>
      <c r="D17" s="55" t="s">
        <v>58</v>
      </c>
      <c r="E17" s="56" t="s">
        <v>323</v>
      </c>
      <c r="F17" s="55" t="s">
        <v>52</v>
      </c>
      <c r="G17" s="56" t="s">
        <v>53</v>
      </c>
      <c r="H17" s="57" t="s">
        <v>19</v>
      </c>
      <c r="I17" s="51">
        <v>0.25</v>
      </c>
      <c r="J17" s="52" t="s">
        <v>11</v>
      </c>
      <c r="K17" s="54">
        <f t="shared" si="1"/>
        <v>46300</v>
      </c>
      <c r="L17" s="54">
        <f t="shared" si="0"/>
        <v>46302</v>
      </c>
      <c r="M17" s="52" t="s">
        <v>342</v>
      </c>
      <c r="N17" s="52" t="s">
        <v>336</v>
      </c>
      <c r="O17" s="62" t="s">
        <v>311</v>
      </c>
      <c r="P17" s="63" t="s">
        <v>343</v>
      </c>
    </row>
    <row r="18" spans="2:16" ht="27" customHeight="1" x14ac:dyDescent="0.3">
      <c r="B18" s="55">
        <v>4</v>
      </c>
      <c r="C18" s="55">
        <v>13</v>
      </c>
      <c r="D18" s="55" t="s">
        <v>58</v>
      </c>
      <c r="E18" s="56" t="s">
        <v>323</v>
      </c>
      <c r="F18" s="55" t="s">
        <v>54</v>
      </c>
      <c r="G18" s="56" t="s">
        <v>55</v>
      </c>
      <c r="H18" s="57" t="s">
        <v>19</v>
      </c>
      <c r="I18" s="51">
        <v>0.25</v>
      </c>
      <c r="J18" s="52" t="s">
        <v>39</v>
      </c>
      <c r="K18" s="54">
        <f t="shared" si="1"/>
        <v>46300</v>
      </c>
      <c r="L18" s="54">
        <f t="shared" si="0"/>
        <v>46302</v>
      </c>
      <c r="M18" s="52" t="s">
        <v>344</v>
      </c>
      <c r="N18" s="52" t="s">
        <v>345</v>
      </c>
      <c r="O18" s="62" t="s">
        <v>311</v>
      </c>
      <c r="P18" s="63" t="s">
        <v>346</v>
      </c>
    </row>
    <row r="19" spans="2:16" x14ac:dyDescent="0.3">
      <c r="B19" s="55">
        <v>4</v>
      </c>
      <c r="C19" s="55">
        <v>14</v>
      </c>
      <c r="D19" s="55" t="s">
        <v>58</v>
      </c>
      <c r="E19" s="56" t="s">
        <v>323</v>
      </c>
      <c r="F19" s="55" t="s">
        <v>56</v>
      </c>
      <c r="G19" s="56" t="s">
        <v>57</v>
      </c>
      <c r="H19" s="57" t="s">
        <v>19</v>
      </c>
      <c r="I19" s="51">
        <v>0.25</v>
      </c>
      <c r="J19" s="52" t="s">
        <v>347</v>
      </c>
      <c r="K19" s="54">
        <f t="shared" si="1"/>
        <v>46300</v>
      </c>
      <c r="L19" s="54">
        <f t="shared" si="0"/>
        <v>46302</v>
      </c>
      <c r="M19" s="52" t="s">
        <v>348</v>
      </c>
      <c r="N19" s="52" t="s">
        <v>336</v>
      </c>
      <c r="O19" s="62" t="s">
        <v>311</v>
      </c>
      <c r="P19" s="63" t="s">
        <v>349</v>
      </c>
    </row>
    <row r="20" spans="2:16" ht="27" customHeight="1" x14ac:dyDescent="0.3">
      <c r="B20" s="55">
        <v>4</v>
      </c>
      <c r="C20" s="55">
        <v>15</v>
      </c>
      <c r="D20" s="55" t="s">
        <v>58</v>
      </c>
      <c r="E20" s="56" t="s">
        <v>323</v>
      </c>
      <c r="F20" s="55" t="s">
        <v>78</v>
      </c>
      <c r="G20" s="56" t="s">
        <v>80</v>
      </c>
      <c r="H20" s="57" t="s">
        <v>19</v>
      </c>
      <c r="I20" s="51">
        <v>0.25</v>
      </c>
      <c r="J20" s="52" t="s">
        <v>350</v>
      </c>
      <c r="K20" s="54">
        <f t="shared" si="1"/>
        <v>46300</v>
      </c>
      <c r="L20" s="54">
        <f t="shared" si="0"/>
        <v>46302</v>
      </c>
      <c r="M20" s="52" t="s">
        <v>351</v>
      </c>
      <c r="N20" s="58" t="s">
        <v>352</v>
      </c>
      <c r="O20" s="62" t="s">
        <v>311</v>
      </c>
      <c r="P20" s="63" t="s">
        <v>353</v>
      </c>
    </row>
    <row r="21" spans="2:16" ht="67.5" customHeight="1" x14ac:dyDescent="0.3">
      <c r="B21" s="55">
        <v>5</v>
      </c>
      <c r="C21" s="55">
        <v>16</v>
      </c>
      <c r="D21" s="55" t="s">
        <v>64</v>
      </c>
      <c r="E21" s="56" t="s">
        <v>66</v>
      </c>
      <c r="F21" s="55" t="s">
        <v>65</v>
      </c>
      <c r="G21" s="56" t="s">
        <v>67</v>
      </c>
      <c r="H21" s="57" t="s">
        <v>19</v>
      </c>
      <c r="I21" s="51">
        <v>0.75</v>
      </c>
      <c r="J21" s="52" t="s">
        <v>354</v>
      </c>
      <c r="K21" s="54">
        <f t="shared" si="1"/>
        <v>46303</v>
      </c>
      <c r="L21" s="54">
        <f t="shared" si="0"/>
        <v>46303</v>
      </c>
      <c r="M21" s="52" t="s">
        <v>355</v>
      </c>
      <c r="N21" s="52" t="s">
        <v>356</v>
      </c>
      <c r="O21" s="62" t="s">
        <v>311</v>
      </c>
      <c r="P21" s="63" t="s">
        <v>357</v>
      </c>
    </row>
    <row r="22" spans="2:16" ht="27" customHeight="1" x14ac:dyDescent="0.3">
      <c r="B22" s="55">
        <v>6</v>
      </c>
      <c r="C22" s="55">
        <v>17</v>
      </c>
      <c r="D22" s="55" t="s">
        <v>70</v>
      </c>
      <c r="E22" s="56" t="s">
        <v>100</v>
      </c>
      <c r="F22" s="55" t="s">
        <v>99</v>
      </c>
      <c r="G22" s="56" t="s">
        <v>101</v>
      </c>
      <c r="H22" s="57" t="s">
        <v>19</v>
      </c>
      <c r="I22" s="51">
        <v>1.5</v>
      </c>
      <c r="J22" s="52" t="s">
        <v>65</v>
      </c>
      <c r="K22" s="54">
        <f t="shared" si="1"/>
        <v>46304</v>
      </c>
      <c r="L22" s="54">
        <f t="shared" si="0"/>
        <v>46307</v>
      </c>
      <c r="M22" s="52" t="s">
        <v>358</v>
      </c>
      <c r="N22" s="52" t="s">
        <v>359</v>
      </c>
      <c r="O22" s="62" t="s">
        <v>311</v>
      </c>
      <c r="P22" s="63" t="s">
        <v>360</v>
      </c>
    </row>
    <row r="23" spans="2:16" ht="27.6" x14ac:dyDescent="0.3">
      <c r="B23" s="51">
        <v>7</v>
      </c>
      <c r="C23" s="51">
        <v>18</v>
      </c>
      <c r="D23" s="51" t="s">
        <v>89</v>
      </c>
      <c r="E23" s="52" t="s">
        <v>17</v>
      </c>
      <c r="F23" s="51" t="s">
        <v>16</v>
      </c>
      <c r="G23" s="52" t="s">
        <v>18</v>
      </c>
      <c r="H23" s="57" t="s">
        <v>19</v>
      </c>
      <c r="I23" s="51">
        <v>0.5</v>
      </c>
      <c r="J23" s="52" t="s">
        <v>65</v>
      </c>
      <c r="K23" s="54">
        <f t="shared" si="1"/>
        <v>46308</v>
      </c>
      <c r="L23" s="54">
        <f t="shared" si="0"/>
        <v>46311</v>
      </c>
      <c r="M23" s="52" t="s">
        <v>361</v>
      </c>
      <c r="N23" s="52" t="s">
        <v>362</v>
      </c>
      <c r="O23" s="62" t="s">
        <v>311</v>
      </c>
      <c r="P23" s="63" t="s">
        <v>363</v>
      </c>
    </row>
    <row r="24" spans="2:16" ht="27" customHeight="1" x14ac:dyDescent="0.3">
      <c r="B24" s="51">
        <v>7</v>
      </c>
      <c r="C24" s="51">
        <v>19</v>
      </c>
      <c r="D24" s="51" t="s">
        <v>89</v>
      </c>
      <c r="E24" s="52" t="s">
        <v>17</v>
      </c>
      <c r="F24" s="51" t="s">
        <v>20</v>
      </c>
      <c r="G24" s="52" t="s">
        <v>21</v>
      </c>
      <c r="H24" s="57" t="s">
        <v>19</v>
      </c>
      <c r="I24" s="51">
        <v>0.5</v>
      </c>
      <c r="J24" s="52" t="s">
        <v>364</v>
      </c>
      <c r="K24" s="54">
        <f t="shared" si="1"/>
        <v>46308</v>
      </c>
      <c r="L24" s="54">
        <f t="shared" si="0"/>
        <v>46311</v>
      </c>
      <c r="M24" s="52" t="s">
        <v>365</v>
      </c>
      <c r="N24" s="52"/>
      <c r="O24" s="62" t="s">
        <v>311</v>
      </c>
      <c r="P24" s="63" t="s">
        <v>366</v>
      </c>
    </row>
    <row r="25" spans="2:16" ht="40.5" customHeight="1" x14ac:dyDescent="0.3">
      <c r="B25" s="51">
        <v>7</v>
      </c>
      <c r="C25" s="51">
        <v>20</v>
      </c>
      <c r="D25" s="51" t="s">
        <v>89</v>
      </c>
      <c r="E25" s="52" t="s">
        <v>17</v>
      </c>
      <c r="F25" s="51" t="s">
        <v>22</v>
      </c>
      <c r="G25" s="52" t="s">
        <v>23</v>
      </c>
      <c r="H25" s="57" t="s">
        <v>19</v>
      </c>
      <c r="I25" s="51">
        <v>0.5</v>
      </c>
      <c r="J25" s="52" t="s">
        <v>20</v>
      </c>
      <c r="K25" s="54">
        <f t="shared" si="1"/>
        <v>46308</v>
      </c>
      <c r="L25" s="54">
        <f t="shared" si="0"/>
        <v>46311</v>
      </c>
      <c r="M25" s="52" t="s">
        <v>367</v>
      </c>
      <c r="N25" s="52"/>
      <c r="O25" s="62" t="s">
        <v>311</v>
      </c>
      <c r="P25" s="63" t="s">
        <v>368</v>
      </c>
    </row>
    <row r="26" spans="2:16" x14ac:dyDescent="0.3">
      <c r="B26" s="51">
        <v>7</v>
      </c>
      <c r="C26" s="51">
        <v>21</v>
      </c>
      <c r="D26" s="51" t="s">
        <v>89</v>
      </c>
      <c r="E26" s="52" t="s">
        <v>17</v>
      </c>
      <c r="F26" s="51" t="s">
        <v>24</v>
      </c>
      <c r="G26" s="52" t="s">
        <v>25</v>
      </c>
      <c r="H26" s="57" t="s">
        <v>19</v>
      </c>
      <c r="I26" s="51">
        <v>0.5</v>
      </c>
      <c r="J26" s="52" t="s">
        <v>11</v>
      </c>
      <c r="K26" s="54">
        <f t="shared" si="1"/>
        <v>46308</v>
      </c>
      <c r="L26" s="54">
        <f t="shared" si="0"/>
        <v>46311</v>
      </c>
      <c r="M26" s="52" t="s">
        <v>369</v>
      </c>
      <c r="N26" s="52"/>
      <c r="O26" s="62" t="s">
        <v>311</v>
      </c>
      <c r="P26" s="63" t="s">
        <v>370</v>
      </c>
    </row>
    <row r="27" spans="2:16" ht="27" customHeight="1" x14ac:dyDescent="0.3">
      <c r="B27" s="51">
        <v>7</v>
      </c>
      <c r="C27" s="51">
        <v>22</v>
      </c>
      <c r="D27" s="51" t="s">
        <v>89</v>
      </c>
      <c r="E27" s="52" t="s">
        <v>17</v>
      </c>
      <c r="F27" s="51" t="s">
        <v>26</v>
      </c>
      <c r="G27" s="52" t="s">
        <v>27</v>
      </c>
      <c r="H27" s="57" t="s">
        <v>19</v>
      </c>
      <c r="I27" s="51">
        <v>0.5</v>
      </c>
      <c r="J27" s="52" t="s">
        <v>24</v>
      </c>
      <c r="K27" s="54">
        <f t="shared" si="1"/>
        <v>46308</v>
      </c>
      <c r="L27" s="54">
        <f t="shared" si="0"/>
        <v>46311</v>
      </c>
      <c r="M27" s="52" t="s">
        <v>371</v>
      </c>
      <c r="N27" s="52"/>
      <c r="O27" s="62" t="s">
        <v>311</v>
      </c>
      <c r="P27" s="63" t="s">
        <v>372</v>
      </c>
    </row>
    <row r="28" spans="2:16" x14ac:dyDescent="0.3">
      <c r="B28" s="51">
        <v>7</v>
      </c>
      <c r="C28" s="51">
        <v>23</v>
      </c>
      <c r="D28" s="51" t="s">
        <v>89</v>
      </c>
      <c r="E28" s="52" t="s">
        <v>17</v>
      </c>
      <c r="F28" s="51" t="s">
        <v>28</v>
      </c>
      <c r="G28" s="52" t="s">
        <v>29</v>
      </c>
      <c r="H28" s="57" t="s">
        <v>19</v>
      </c>
      <c r="I28" s="51">
        <v>0.15</v>
      </c>
      <c r="J28" s="52" t="s">
        <v>26</v>
      </c>
      <c r="K28" s="54">
        <f t="shared" si="1"/>
        <v>46308</v>
      </c>
      <c r="L28" s="54">
        <f t="shared" si="0"/>
        <v>46311</v>
      </c>
      <c r="M28" s="52" t="s">
        <v>373</v>
      </c>
      <c r="N28" s="52"/>
      <c r="O28" s="62" t="s">
        <v>311</v>
      </c>
      <c r="P28" s="63" t="s">
        <v>374</v>
      </c>
    </row>
    <row r="29" spans="2:16" ht="27" customHeight="1" x14ac:dyDescent="0.3">
      <c r="B29" s="51">
        <v>7</v>
      </c>
      <c r="C29" s="51">
        <v>24</v>
      </c>
      <c r="D29" s="51" t="s">
        <v>89</v>
      </c>
      <c r="E29" s="52" t="s">
        <v>17</v>
      </c>
      <c r="F29" s="51" t="s">
        <v>30</v>
      </c>
      <c r="G29" s="52" t="s">
        <v>31</v>
      </c>
      <c r="H29" s="57" t="s">
        <v>19</v>
      </c>
      <c r="I29" s="51">
        <v>0.25</v>
      </c>
      <c r="J29" s="52" t="s">
        <v>26</v>
      </c>
      <c r="K29" s="54">
        <f t="shared" si="1"/>
        <v>46308</v>
      </c>
      <c r="L29" s="54">
        <f t="shared" si="0"/>
        <v>46311</v>
      </c>
      <c r="M29" s="52" t="s">
        <v>375</v>
      </c>
      <c r="N29" s="52"/>
      <c r="O29" s="62" t="s">
        <v>311</v>
      </c>
      <c r="P29" s="63" t="s">
        <v>376</v>
      </c>
    </row>
    <row r="30" spans="2:16" ht="67.5" customHeight="1" x14ac:dyDescent="0.3">
      <c r="B30" s="55">
        <v>7</v>
      </c>
      <c r="C30" s="55">
        <v>25</v>
      </c>
      <c r="D30" s="55" t="s">
        <v>89</v>
      </c>
      <c r="E30" s="56" t="s">
        <v>17</v>
      </c>
      <c r="F30" s="55" t="s">
        <v>68</v>
      </c>
      <c r="G30" s="56" t="s">
        <v>69</v>
      </c>
      <c r="H30" s="57" t="s">
        <v>19</v>
      </c>
      <c r="I30" s="51">
        <v>0.75</v>
      </c>
      <c r="J30" s="52" t="s">
        <v>377</v>
      </c>
      <c r="K30" s="54">
        <f t="shared" si="1"/>
        <v>46308</v>
      </c>
      <c r="L30" s="54">
        <f t="shared" si="0"/>
        <v>46311</v>
      </c>
      <c r="M30" s="52" t="s">
        <v>378</v>
      </c>
      <c r="N30" s="52" t="s">
        <v>379</v>
      </c>
      <c r="O30" s="62" t="s">
        <v>307</v>
      </c>
      <c r="P30" s="63" t="s">
        <v>380</v>
      </c>
    </row>
    <row r="31" spans="2:16" ht="27" customHeight="1" x14ac:dyDescent="0.3">
      <c r="B31" s="51">
        <v>7</v>
      </c>
      <c r="C31" s="51">
        <v>26</v>
      </c>
      <c r="D31" s="51" t="s">
        <v>89</v>
      </c>
      <c r="E31" s="52" t="s">
        <v>17</v>
      </c>
      <c r="F31" s="51" t="s">
        <v>32</v>
      </c>
      <c r="G31" s="52" t="s">
        <v>33</v>
      </c>
      <c r="H31" s="57" t="s">
        <v>19</v>
      </c>
      <c r="I31" s="51">
        <v>0.1</v>
      </c>
      <c r="J31" s="52" t="s">
        <v>381</v>
      </c>
      <c r="K31" s="54">
        <f t="shared" si="1"/>
        <v>46308</v>
      </c>
      <c r="L31" s="54">
        <f t="shared" si="0"/>
        <v>46311</v>
      </c>
      <c r="M31" s="52" t="s">
        <v>382</v>
      </c>
      <c r="N31" s="52"/>
      <c r="O31" s="62" t="s">
        <v>311</v>
      </c>
      <c r="P31" s="63" t="s">
        <v>383</v>
      </c>
    </row>
    <row r="32" spans="2:16" ht="27" customHeight="1" x14ac:dyDescent="0.3">
      <c r="B32" s="55">
        <v>8</v>
      </c>
      <c r="C32" s="55">
        <v>27</v>
      </c>
      <c r="D32" s="55" t="s">
        <v>106</v>
      </c>
      <c r="E32" s="56" t="s">
        <v>91</v>
      </c>
      <c r="F32" s="55" t="s">
        <v>93</v>
      </c>
      <c r="G32" s="56" t="s">
        <v>94</v>
      </c>
      <c r="H32" s="57" t="s">
        <v>19</v>
      </c>
      <c r="I32" s="51">
        <v>0.5</v>
      </c>
      <c r="J32" s="52" t="s">
        <v>384</v>
      </c>
      <c r="K32" s="54">
        <f t="shared" si="1"/>
        <v>46314</v>
      </c>
      <c r="L32" s="54">
        <f t="shared" si="0"/>
        <v>46315</v>
      </c>
      <c r="M32" s="52" t="s">
        <v>385</v>
      </c>
      <c r="N32" s="52" t="s">
        <v>386</v>
      </c>
      <c r="O32" s="62" t="s">
        <v>311</v>
      </c>
      <c r="P32" s="63" t="s">
        <v>387</v>
      </c>
    </row>
    <row r="33" spans="2:16" ht="27" customHeight="1" x14ac:dyDescent="0.3">
      <c r="B33" s="55">
        <v>8</v>
      </c>
      <c r="C33" s="55">
        <v>28</v>
      </c>
      <c r="D33" s="55" t="s">
        <v>106</v>
      </c>
      <c r="E33" s="56" t="s">
        <v>91</v>
      </c>
      <c r="F33" s="55" t="s">
        <v>95</v>
      </c>
      <c r="G33" s="56" t="s">
        <v>96</v>
      </c>
      <c r="H33" s="57" t="s">
        <v>19</v>
      </c>
      <c r="I33" s="51">
        <v>0.25</v>
      </c>
      <c r="J33" s="52" t="s">
        <v>388</v>
      </c>
      <c r="K33" s="54">
        <f t="shared" si="1"/>
        <v>46314</v>
      </c>
      <c r="L33" s="54">
        <f t="shared" si="0"/>
        <v>46315</v>
      </c>
      <c r="M33" s="52" t="s">
        <v>389</v>
      </c>
      <c r="N33" s="52" t="s">
        <v>390</v>
      </c>
      <c r="O33" s="62" t="s">
        <v>311</v>
      </c>
      <c r="P33" s="63" t="s">
        <v>391</v>
      </c>
    </row>
    <row r="34" spans="2:16" ht="81" customHeight="1" x14ac:dyDescent="0.3">
      <c r="B34" s="55">
        <v>8</v>
      </c>
      <c r="C34" s="55">
        <v>29</v>
      </c>
      <c r="D34" s="55" t="s">
        <v>106</v>
      </c>
      <c r="E34" s="56" t="s">
        <v>91</v>
      </c>
      <c r="F34" s="55" t="s">
        <v>97</v>
      </c>
      <c r="G34" s="56" t="s">
        <v>98</v>
      </c>
      <c r="H34" s="57" t="s">
        <v>19</v>
      </c>
      <c r="I34" s="51">
        <v>0.5</v>
      </c>
      <c r="J34" s="52" t="s">
        <v>392</v>
      </c>
      <c r="K34" s="54">
        <f t="shared" si="1"/>
        <v>46314</v>
      </c>
      <c r="L34" s="54">
        <f t="shared" si="0"/>
        <v>46315</v>
      </c>
      <c r="M34" s="52" t="s">
        <v>393</v>
      </c>
      <c r="N34" s="52" t="s">
        <v>394</v>
      </c>
      <c r="O34" s="62" t="s">
        <v>311</v>
      </c>
      <c r="P34" s="63" t="s">
        <v>395</v>
      </c>
    </row>
    <row r="35" spans="2:16" ht="27" customHeight="1" x14ac:dyDescent="0.3">
      <c r="B35" s="55">
        <v>9</v>
      </c>
      <c r="C35" s="55">
        <v>30</v>
      </c>
      <c r="D35" s="55" t="s">
        <v>110</v>
      </c>
      <c r="E35" s="56" t="s">
        <v>108</v>
      </c>
      <c r="F35" s="55" t="s">
        <v>104</v>
      </c>
      <c r="G35" s="56" t="s">
        <v>105</v>
      </c>
      <c r="H35" s="57" t="s">
        <v>19</v>
      </c>
      <c r="I35" s="51">
        <v>0.25</v>
      </c>
      <c r="J35" s="52" t="s">
        <v>396</v>
      </c>
      <c r="K35" s="54">
        <f t="shared" si="1"/>
        <v>46316</v>
      </c>
      <c r="L35" s="54">
        <f t="shared" si="0"/>
        <v>46316</v>
      </c>
      <c r="M35" s="52" t="s">
        <v>397</v>
      </c>
      <c r="N35" s="58" t="s">
        <v>398</v>
      </c>
      <c r="O35" s="62" t="s">
        <v>311</v>
      </c>
      <c r="P35" s="63" t="s">
        <v>399</v>
      </c>
    </row>
    <row r="36" spans="2:16" ht="27" customHeight="1" x14ac:dyDescent="0.3">
      <c r="B36" s="55">
        <v>9</v>
      </c>
      <c r="C36" s="55">
        <v>31</v>
      </c>
      <c r="D36" s="55" t="s">
        <v>110</v>
      </c>
      <c r="E36" s="56" t="s">
        <v>108</v>
      </c>
      <c r="F36" s="55" t="s">
        <v>107</v>
      </c>
      <c r="G36" s="56" t="s">
        <v>109</v>
      </c>
      <c r="H36" s="57" t="s">
        <v>19</v>
      </c>
      <c r="I36" s="51">
        <v>0.15</v>
      </c>
      <c r="J36" s="52" t="s">
        <v>396</v>
      </c>
      <c r="K36" s="54">
        <f t="shared" si="1"/>
        <v>46316</v>
      </c>
      <c r="L36" s="54">
        <f t="shared" si="0"/>
        <v>46316</v>
      </c>
      <c r="M36" s="52" t="s">
        <v>400</v>
      </c>
      <c r="N36" s="52" t="s">
        <v>401</v>
      </c>
      <c r="O36" s="62" t="s">
        <v>311</v>
      </c>
      <c r="P36" s="63" t="s">
        <v>402</v>
      </c>
    </row>
    <row r="37" spans="2:16" ht="94.5" customHeight="1" x14ac:dyDescent="0.3">
      <c r="B37" s="55">
        <v>10</v>
      </c>
      <c r="C37" s="55">
        <v>32</v>
      </c>
      <c r="D37" s="55" t="s">
        <v>116</v>
      </c>
      <c r="E37" s="56" t="s">
        <v>403</v>
      </c>
      <c r="F37" s="55" t="s">
        <v>90</v>
      </c>
      <c r="G37" s="56" t="s">
        <v>92</v>
      </c>
      <c r="H37" s="57" t="s">
        <v>19</v>
      </c>
      <c r="I37" s="51">
        <v>0.5</v>
      </c>
      <c r="J37" s="52" t="s">
        <v>404</v>
      </c>
      <c r="K37" s="54">
        <f t="shared" si="1"/>
        <v>46317</v>
      </c>
      <c r="L37" s="54">
        <f t="shared" si="0"/>
        <v>46317</v>
      </c>
      <c r="M37" s="52" t="s">
        <v>405</v>
      </c>
      <c r="N37" s="52" t="s">
        <v>406</v>
      </c>
      <c r="O37" s="62" t="s">
        <v>311</v>
      </c>
      <c r="P37" s="63" t="s">
        <v>407</v>
      </c>
    </row>
    <row r="38" spans="2:16" ht="81" customHeight="1" x14ac:dyDescent="0.3">
      <c r="B38" s="55">
        <v>11</v>
      </c>
      <c r="C38" s="55">
        <v>33</v>
      </c>
      <c r="D38" s="55" t="s">
        <v>70</v>
      </c>
      <c r="E38" s="56" t="s">
        <v>100</v>
      </c>
      <c r="F38" s="55" t="s">
        <v>102</v>
      </c>
      <c r="G38" s="56" t="s">
        <v>103</v>
      </c>
      <c r="H38" s="57" t="s">
        <v>19</v>
      </c>
      <c r="I38" s="51">
        <v>1</v>
      </c>
      <c r="J38" s="52" t="s">
        <v>95</v>
      </c>
      <c r="K38" s="54">
        <f t="shared" si="1"/>
        <v>46318</v>
      </c>
      <c r="L38" s="54">
        <f t="shared" ref="L38:L69" si="2">WORKDAY(K38,MAX(1,ROUNDUP(SUMIF($B$6:$B$116,B38,$I$6:$I$116),0))-1)</f>
        <v>46318</v>
      </c>
      <c r="M38" s="52" t="s">
        <v>408</v>
      </c>
      <c r="N38" s="52" t="s">
        <v>409</v>
      </c>
      <c r="O38" s="62" t="s">
        <v>311</v>
      </c>
      <c r="P38" s="63" t="s">
        <v>410</v>
      </c>
    </row>
    <row r="39" spans="2:16" ht="27" customHeight="1" x14ac:dyDescent="0.3">
      <c r="B39" s="55">
        <v>12</v>
      </c>
      <c r="C39" s="55">
        <v>34</v>
      </c>
      <c r="D39" s="55" t="s">
        <v>120</v>
      </c>
      <c r="E39" s="56" t="s">
        <v>112</v>
      </c>
      <c r="F39" s="55" t="s">
        <v>111</v>
      </c>
      <c r="G39" s="56" t="s">
        <v>113</v>
      </c>
      <c r="H39" s="57" t="s">
        <v>19</v>
      </c>
      <c r="I39" s="51">
        <v>0.25</v>
      </c>
      <c r="J39" s="52" t="s">
        <v>136</v>
      </c>
      <c r="K39" s="54">
        <f t="shared" ref="K39:K70" si="3">IF(B39=B38,K38,WORKDAY(L38,1))</f>
        <v>46321</v>
      </c>
      <c r="L39" s="54">
        <f t="shared" si="2"/>
        <v>46321</v>
      </c>
      <c r="M39" s="52" t="s">
        <v>411</v>
      </c>
      <c r="N39" s="52" t="s">
        <v>412</v>
      </c>
      <c r="O39" s="62" t="s">
        <v>311</v>
      </c>
      <c r="P39" s="63" t="s">
        <v>413</v>
      </c>
    </row>
    <row r="40" spans="2:16" ht="54" customHeight="1" x14ac:dyDescent="0.3">
      <c r="B40" s="55">
        <v>12</v>
      </c>
      <c r="C40" s="55">
        <v>35</v>
      </c>
      <c r="D40" s="55" t="s">
        <v>120</v>
      </c>
      <c r="E40" s="56" t="s">
        <v>112</v>
      </c>
      <c r="F40" s="55" t="s">
        <v>114</v>
      </c>
      <c r="G40" s="56" t="s">
        <v>115</v>
      </c>
      <c r="H40" s="57" t="s">
        <v>19</v>
      </c>
      <c r="I40" s="51">
        <v>0.25</v>
      </c>
      <c r="J40" s="52" t="s">
        <v>414</v>
      </c>
      <c r="K40" s="54">
        <f t="shared" si="3"/>
        <v>46321</v>
      </c>
      <c r="L40" s="54">
        <f t="shared" si="2"/>
        <v>46321</v>
      </c>
      <c r="M40" s="52" t="s">
        <v>415</v>
      </c>
      <c r="N40" s="52" t="s">
        <v>416</v>
      </c>
      <c r="O40" s="62" t="s">
        <v>311</v>
      </c>
      <c r="P40" s="63" t="s">
        <v>417</v>
      </c>
    </row>
    <row r="41" spans="2:16" ht="40.5" customHeight="1" x14ac:dyDescent="0.3">
      <c r="B41" s="55">
        <v>13</v>
      </c>
      <c r="C41" s="55">
        <v>36</v>
      </c>
      <c r="D41" s="55" t="s">
        <v>138</v>
      </c>
      <c r="E41" s="56" t="s">
        <v>60</v>
      </c>
      <c r="F41" s="55" t="s">
        <v>59</v>
      </c>
      <c r="G41" s="56" t="s">
        <v>61</v>
      </c>
      <c r="H41" s="57" t="s">
        <v>19</v>
      </c>
      <c r="I41" s="51">
        <v>0.25</v>
      </c>
      <c r="J41" s="52" t="s">
        <v>418</v>
      </c>
      <c r="K41" s="54">
        <f t="shared" si="3"/>
        <v>46322</v>
      </c>
      <c r="L41" s="54">
        <f t="shared" si="2"/>
        <v>46323</v>
      </c>
      <c r="M41" s="52" t="s">
        <v>419</v>
      </c>
      <c r="N41" s="52" t="s">
        <v>420</v>
      </c>
      <c r="O41" s="62" t="s">
        <v>311</v>
      </c>
      <c r="P41" s="63" t="s">
        <v>421</v>
      </c>
    </row>
    <row r="42" spans="2:16" ht="40.5" customHeight="1" x14ac:dyDescent="0.3">
      <c r="B42" s="55">
        <v>13</v>
      </c>
      <c r="C42" s="55">
        <v>37</v>
      </c>
      <c r="D42" s="55" t="s">
        <v>138</v>
      </c>
      <c r="E42" s="56" t="s">
        <v>60</v>
      </c>
      <c r="F42" s="55" t="s">
        <v>62</v>
      </c>
      <c r="G42" s="56" t="s">
        <v>63</v>
      </c>
      <c r="H42" s="57" t="s">
        <v>19</v>
      </c>
      <c r="I42" s="51">
        <v>0.25</v>
      </c>
      <c r="J42" s="52" t="s">
        <v>422</v>
      </c>
      <c r="K42" s="54">
        <f t="shared" si="3"/>
        <v>46322</v>
      </c>
      <c r="L42" s="54">
        <f t="shared" si="2"/>
        <v>46323</v>
      </c>
      <c r="M42" s="52" t="s">
        <v>423</v>
      </c>
      <c r="N42" s="52" t="s">
        <v>424</v>
      </c>
      <c r="O42" s="62" t="s">
        <v>311</v>
      </c>
      <c r="P42" s="63" t="s">
        <v>425</v>
      </c>
    </row>
    <row r="43" spans="2:16" ht="27" customHeight="1" x14ac:dyDescent="0.3">
      <c r="B43" s="55">
        <v>13</v>
      </c>
      <c r="C43" s="55">
        <v>38</v>
      </c>
      <c r="D43" s="55" t="s">
        <v>138</v>
      </c>
      <c r="E43" s="56" t="s">
        <v>60</v>
      </c>
      <c r="F43" s="55" t="s">
        <v>74</v>
      </c>
      <c r="G43" s="56" t="s">
        <v>75</v>
      </c>
      <c r="H43" s="57" t="s">
        <v>19</v>
      </c>
      <c r="I43" s="51">
        <v>0.5</v>
      </c>
      <c r="J43" s="52" t="s">
        <v>59</v>
      </c>
      <c r="K43" s="54">
        <f t="shared" si="3"/>
        <v>46322</v>
      </c>
      <c r="L43" s="54">
        <f t="shared" si="2"/>
        <v>46323</v>
      </c>
      <c r="M43" s="52" t="s">
        <v>426</v>
      </c>
      <c r="N43" s="52" t="s">
        <v>427</v>
      </c>
      <c r="O43" s="62" t="s">
        <v>311</v>
      </c>
      <c r="P43" s="63" t="s">
        <v>428</v>
      </c>
    </row>
    <row r="44" spans="2:16" x14ac:dyDescent="0.3">
      <c r="B44" s="55">
        <v>13</v>
      </c>
      <c r="C44" s="55">
        <v>39</v>
      </c>
      <c r="D44" s="55" t="s">
        <v>138</v>
      </c>
      <c r="E44" s="56" t="s">
        <v>60</v>
      </c>
      <c r="F44" s="55" t="s">
        <v>76</v>
      </c>
      <c r="G44" s="56" t="s">
        <v>77</v>
      </c>
      <c r="H44" s="57" t="s">
        <v>19</v>
      </c>
      <c r="I44" s="51">
        <v>0.25</v>
      </c>
      <c r="J44" s="52" t="s">
        <v>74</v>
      </c>
      <c r="K44" s="54">
        <f t="shared" si="3"/>
        <v>46322</v>
      </c>
      <c r="L44" s="54">
        <f t="shared" si="2"/>
        <v>46323</v>
      </c>
      <c r="M44" s="52" t="s">
        <v>429</v>
      </c>
      <c r="N44" s="52" t="s">
        <v>430</v>
      </c>
      <c r="O44" s="62" t="s">
        <v>311</v>
      </c>
      <c r="P44" s="63" t="s">
        <v>431</v>
      </c>
    </row>
    <row r="45" spans="2:16" ht="27" customHeight="1" x14ac:dyDescent="0.3">
      <c r="B45" s="55">
        <v>13</v>
      </c>
      <c r="C45" s="55">
        <v>40</v>
      </c>
      <c r="D45" s="55" t="s">
        <v>138</v>
      </c>
      <c r="E45" s="56" t="s">
        <v>60</v>
      </c>
      <c r="F45" s="55" t="s">
        <v>85</v>
      </c>
      <c r="G45" s="56" t="s">
        <v>86</v>
      </c>
      <c r="H45" s="57" t="s">
        <v>19</v>
      </c>
      <c r="I45" s="51">
        <v>0.15</v>
      </c>
      <c r="J45" s="52" t="s">
        <v>432</v>
      </c>
      <c r="K45" s="54">
        <f t="shared" si="3"/>
        <v>46322</v>
      </c>
      <c r="L45" s="54">
        <f t="shared" si="2"/>
        <v>46323</v>
      </c>
      <c r="M45" s="52" t="s">
        <v>433</v>
      </c>
      <c r="N45" s="52" t="s">
        <v>434</v>
      </c>
      <c r="O45" s="62" t="s">
        <v>311</v>
      </c>
      <c r="P45" s="63" t="s">
        <v>435</v>
      </c>
    </row>
    <row r="46" spans="2:16" ht="94.5" customHeight="1" x14ac:dyDescent="0.3">
      <c r="B46" s="55">
        <v>13</v>
      </c>
      <c r="C46" s="55">
        <v>41</v>
      </c>
      <c r="D46" s="55" t="s">
        <v>138</v>
      </c>
      <c r="E46" s="56" t="s">
        <v>60</v>
      </c>
      <c r="F46" s="55" t="s">
        <v>87</v>
      </c>
      <c r="G46" s="56" t="s">
        <v>88</v>
      </c>
      <c r="H46" s="57" t="s">
        <v>19</v>
      </c>
      <c r="I46" s="51">
        <v>0.15</v>
      </c>
      <c r="J46" s="52" t="s">
        <v>436</v>
      </c>
      <c r="K46" s="54">
        <f t="shared" si="3"/>
        <v>46322</v>
      </c>
      <c r="L46" s="54">
        <f t="shared" si="2"/>
        <v>46323</v>
      </c>
      <c r="M46" s="52" t="s">
        <v>437</v>
      </c>
      <c r="N46" s="52" t="s">
        <v>438</v>
      </c>
      <c r="O46" s="62" t="s">
        <v>311</v>
      </c>
      <c r="P46" s="63" t="s">
        <v>439</v>
      </c>
    </row>
    <row r="47" spans="2:16" ht="27" customHeight="1" x14ac:dyDescent="0.3">
      <c r="B47" s="55">
        <v>13</v>
      </c>
      <c r="C47" s="55">
        <v>42</v>
      </c>
      <c r="D47" s="55" t="s">
        <v>138</v>
      </c>
      <c r="E47" s="56" t="s">
        <v>60</v>
      </c>
      <c r="F47" s="55" t="s">
        <v>34</v>
      </c>
      <c r="G47" s="56" t="s">
        <v>35</v>
      </c>
      <c r="H47" s="57" t="s">
        <v>19</v>
      </c>
      <c r="I47" s="51">
        <v>0.25</v>
      </c>
      <c r="J47" s="52" t="s">
        <v>440</v>
      </c>
      <c r="K47" s="54">
        <f t="shared" si="3"/>
        <v>46322</v>
      </c>
      <c r="L47" s="54">
        <f t="shared" si="2"/>
        <v>46323</v>
      </c>
      <c r="M47" s="52" t="s">
        <v>441</v>
      </c>
      <c r="N47" s="52" t="s">
        <v>442</v>
      </c>
      <c r="O47" s="62" t="s">
        <v>311</v>
      </c>
      <c r="P47" s="63" t="s">
        <v>443</v>
      </c>
    </row>
    <row r="48" spans="2:16" ht="27.6" x14ac:dyDescent="0.3">
      <c r="B48" s="55">
        <v>13</v>
      </c>
      <c r="C48" s="55">
        <v>43</v>
      </c>
      <c r="D48" s="55" t="s">
        <v>138</v>
      </c>
      <c r="E48" s="56" t="s">
        <v>60</v>
      </c>
      <c r="F48" s="55" t="s">
        <v>36</v>
      </c>
      <c r="G48" s="56" t="s">
        <v>37</v>
      </c>
      <c r="H48" s="57" t="s">
        <v>19</v>
      </c>
      <c r="I48" s="51">
        <v>0.15</v>
      </c>
      <c r="J48" s="52" t="s">
        <v>34</v>
      </c>
      <c r="K48" s="54">
        <f t="shared" si="3"/>
        <v>46322</v>
      </c>
      <c r="L48" s="54">
        <f t="shared" si="2"/>
        <v>46323</v>
      </c>
      <c r="M48" s="52" t="s">
        <v>444</v>
      </c>
      <c r="N48" s="52" t="s">
        <v>445</v>
      </c>
      <c r="O48" s="62" t="s">
        <v>311</v>
      </c>
      <c r="P48" s="63" t="s">
        <v>446</v>
      </c>
    </row>
    <row r="49" spans="2:16" ht="27" customHeight="1" x14ac:dyDescent="0.3">
      <c r="B49" s="55">
        <v>14</v>
      </c>
      <c r="C49" s="55">
        <v>44</v>
      </c>
      <c r="D49" s="55" t="s">
        <v>144</v>
      </c>
      <c r="E49" s="56" t="s">
        <v>72</v>
      </c>
      <c r="F49" s="55" t="s">
        <v>71</v>
      </c>
      <c r="G49" s="56" t="s">
        <v>73</v>
      </c>
      <c r="H49" s="57" t="s">
        <v>19</v>
      </c>
      <c r="I49" s="51">
        <v>0.5</v>
      </c>
      <c r="J49" s="52" t="s">
        <v>447</v>
      </c>
      <c r="K49" s="54">
        <f t="shared" si="3"/>
        <v>46324</v>
      </c>
      <c r="L49" s="54">
        <f t="shared" si="2"/>
        <v>46324</v>
      </c>
      <c r="M49" s="52" t="s">
        <v>448</v>
      </c>
      <c r="N49" s="52" t="s">
        <v>449</v>
      </c>
      <c r="O49" s="62" t="s">
        <v>311</v>
      </c>
      <c r="P49" s="63" t="s">
        <v>450</v>
      </c>
    </row>
    <row r="50" spans="2:16" ht="40.5" customHeight="1" x14ac:dyDescent="0.3">
      <c r="B50" s="55">
        <v>15</v>
      </c>
      <c r="C50" s="55">
        <v>45</v>
      </c>
      <c r="D50" s="55" t="s">
        <v>150</v>
      </c>
      <c r="E50" s="56" t="s">
        <v>79</v>
      </c>
      <c r="F50" s="55" t="s">
        <v>81</v>
      </c>
      <c r="G50" s="56" t="s">
        <v>82</v>
      </c>
      <c r="H50" s="57" t="s">
        <v>19</v>
      </c>
      <c r="I50" s="51">
        <v>0.25</v>
      </c>
      <c r="J50" s="52" t="s">
        <v>451</v>
      </c>
      <c r="K50" s="54">
        <f t="shared" si="3"/>
        <v>46325</v>
      </c>
      <c r="L50" s="54">
        <f t="shared" si="2"/>
        <v>46325</v>
      </c>
      <c r="M50" s="52" t="s">
        <v>452</v>
      </c>
      <c r="N50" s="52" t="s">
        <v>453</v>
      </c>
      <c r="O50" s="62" t="s">
        <v>311</v>
      </c>
      <c r="P50" s="63" t="s">
        <v>454</v>
      </c>
    </row>
    <row r="51" spans="2:16" ht="108" customHeight="1" x14ac:dyDescent="0.3">
      <c r="B51" s="51">
        <v>15</v>
      </c>
      <c r="C51" s="51">
        <v>46</v>
      </c>
      <c r="D51" s="51" t="s">
        <v>150</v>
      </c>
      <c r="E51" s="52" t="s">
        <v>79</v>
      </c>
      <c r="F51" s="51" t="s">
        <v>83</v>
      </c>
      <c r="G51" s="52" t="s">
        <v>84</v>
      </c>
      <c r="H51" s="57" t="s">
        <v>19</v>
      </c>
      <c r="I51" s="51">
        <v>0.5</v>
      </c>
      <c r="J51" s="52" t="s">
        <v>81</v>
      </c>
      <c r="K51" s="54">
        <f t="shared" si="3"/>
        <v>46325</v>
      </c>
      <c r="L51" s="54">
        <f t="shared" si="2"/>
        <v>46325</v>
      </c>
      <c r="M51" s="52" t="s">
        <v>455</v>
      </c>
      <c r="N51" s="52"/>
      <c r="O51" s="62" t="s">
        <v>311</v>
      </c>
      <c r="P51" s="63" t="s">
        <v>456</v>
      </c>
    </row>
    <row r="52" spans="2:16" ht="40.5" customHeight="1" x14ac:dyDescent="0.3">
      <c r="B52" s="55">
        <v>16</v>
      </c>
      <c r="C52" s="55">
        <v>47</v>
      </c>
      <c r="D52" s="55" t="s">
        <v>159</v>
      </c>
      <c r="E52" s="56" t="s">
        <v>118</v>
      </c>
      <c r="F52" s="55" t="s">
        <v>117</v>
      </c>
      <c r="G52" s="56" t="s">
        <v>119</v>
      </c>
      <c r="H52" s="57" t="s">
        <v>19</v>
      </c>
      <c r="I52" s="51">
        <v>0.25</v>
      </c>
      <c r="J52" s="52" t="s">
        <v>457</v>
      </c>
      <c r="K52" s="54">
        <f t="shared" si="3"/>
        <v>46328</v>
      </c>
      <c r="L52" s="54">
        <f t="shared" si="2"/>
        <v>46328</v>
      </c>
      <c r="M52" s="52" t="s">
        <v>458</v>
      </c>
      <c r="N52" s="52" t="s">
        <v>459</v>
      </c>
      <c r="O52" s="62" t="s">
        <v>311</v>
      </c>
      <c r="P52" s="63" t="s">
        <v>460</v>
      </c>
    </row>
    <row r="53" spans="2:16" ht="40.5" customHeight="1" x14ac:dyDescent="0.3">
      <c r="B53" s="51">
        <v>17</v>
      </c>
      <c r="C53" s="51">
        <v>48</v>
      </c>
      <c r="D53" s="51" t="s">
        <v>165</v>
      </c>
      <c r="E53" s="52" t="s">
        <v>122</v>
      </c>
      <c r="F53" s="51" t="s">
        <v>121</v>
      </c>
      <c r="G53" s="52" t="s">
        <v>123</v>
      </c>
      <c r="H53" s="57" t="s">
        <v>19</v>
      </c>
      <c r="I53" s="51">
        <v>0.5</v>
      </c>
      <c r="J53" s="52" t="s">
        <v>461</v>
      </c>
      <c r="K53" s="54">
        <f t="shared" si="3"/>
        <v>46329</v>
      </c>
      <c r="L53" s="54">
        <f t="shared" si="2"/>
        <v>46330</v>
      </c>
      <c r="M53" s="52" t="s">
        <v>462</v>
      </c>
      <c r="N53" s="52"/>
      <c r="O53" s="62" t="s">
        <v>311</v>
      </c>
      <c r="P53" s="63" t="s">
        <v>463</v>
      </c>
    </row>
    <row r="54" spans="2:16" ht="27" customHeight="1" x14ac:dyDescent="0.3">
      <c r="B54" s="51">
        <v>17</v>
      </c>
      <c r="C54" s="51">
        <v>49</v>
      </c>
      <c r="D54" s="51" t="s">
        <v>165</v>
      </c>
      <c r="E54" s="52" t="s">
        <v>122</v>
      </c>
      <c r="F54" s="51" t="s">
        <v>124</v>
      </c>
      <c r="G54" s="52" t="s">
        <v>125</v>
      </c>
      <c r="H54" s="57" t="s">
        <v>19</v>
      </c>
      <c r="I54" s="51">
        <v>0.15</v>
      </c>
      <c r="J54" s="52" t="s">
        <v>121</v>
      </c>
      <c r="K54" s="54">
        <f t="shared" si="3"/>
        <v>46329</v>
      </c>
      <c r="L54" s="54">
        <f t="shared" si="2"/>
        <v>46330</v>
      </c>
      <c r="M54" s="52" t="s">
        <v>464</v>
      </c>
      <c r="N54" s="52"/>
      <c r="O54" s="62" t="s">
        <v>311</v>
      </c>
      <c r="P54" s="63" t="s">
        <v>465</v>
      </c>
    </row>
    <row r="55" spans="2:16" x14ac:dyDescent="0.3">
      <c r="B55" s="51">
        <v>17</v>
      </c>
      <c r="C55" s="51">
        <v>50</v>
      </c>
      <c r="D55" s="51" t="s">
        <v>165</v>
      </c>
      <c r="E55" s="52" t="s">
        <v>122</v>
      </c>
      <c r="F55" s="51" t="s">
        <v>126</v>
      </c>
      <c r="G55" s="52" t="s">
        <v>127</v>
      </c>
      <c r="H55" s="57" t="s">
        <v>19</v>
      </c>
      <c r="I55" s="51">
        <v>0.15</v>
      </c>
      <c r="J55" s="52" t="s">
        <v>466</v>
      </c>
      <c r="K55" s="54">
        <f t="shared" si="3"/>
        <v>46329</v>
      </c>
      <c r="L55" s="54">
        <f t="shared" si="2"/>
        <v>46330</v>
      </c>
      <c r="M55" s="52" t="s">
        <v>467</v>
      </c>
      <c r="N55" s="52"/>
      <c r="O55" s="62" t="s">
        <v>311</v>
      </c>
      <c r="P55" s="63" t="s">
        <v>468</v>
      </c>
    </row>
    <row r="56" spans="2:16" ht="67.5" customHeight="1" x14ac:dyDescent="0.3">
      <c r="B56" s="51">
        <v>17</v>
      </c>
      <c r="C56" s="51">
        <v>51</v>
      </c>
      <c r="D56" s="51" t="s">
        <v>165</v>
      </c>
      <c r="E56" s="52" t="s">
        <v>122</v>
      </c>
      <c r="F56" s="51" t="s">
        <v>128</v>
      </c>
      <c r="G56" s="52" t="s">
        <v>129</v>
      </c>
      <c r="H56" s="57" t="s">
        <v>19</v>
      </c>
      <c r="I56" s="51">
        <v>0.25</v>
      </c>
      <c r="J56" s="52" t="s">
        <v>121</v>
      </c>
      <c r="K56" s="54">
        <f t="shared" si="3"/>
        <v>46329</v>
      </c>
      <c r="L56" s="54">
        <f t="shared" si="2"/>
        <v>46330</v>
      </c>
      <c r="M56" s="52" t="s">
        <v>469</v>
      </c>
      <c r="N56" s="52"/>
      <c r="O56" s="62" t="s">
        <v>311</v>
      </c>
      <c r="P56" s="63" t="s">
        <v>470</v>
      </c>
    </row>
    <row r="57" spans="2:16" ht="27" customHeight="1" x14ac:dyDescent="0.3">
      <c r="B57" s="51">
        <v>17</v>
      </c>
      <c r="C57" s="51">
        <v>52</v>
      </c>
      <c r="D57" s="51" t="s">
        <v>165</v>
      </c>
      <c r="E57" s="52" t="s">
        <v>122</v>
      </c>
      <c r="F57" s="51" t="s">
        <v>130</v>
      </c>
      <c r="G57" s="52" t="s">
        <v>131</v>
      </c>
      <c r="H57" s="57" t="s">
        <v>19</v>
      </c>
      <c r="I57" s="51">
        <v>0.1</v>
      </c>
      <c r="J57" s="52" t="s">
        <v>471</v>
      </c>
      <c r="K57" s="54">
        <f t="shared" si="3"/>
        <v>46329</v>
      </c>
      <c r="L57" s="54">
        <f t="shared" si="2"/>
        <v>46330</v>
      </c>
      <c r="M57" s="52" t="s">
        <v>472</v>
      </c>
      <c r="N57" s="52"/>
      <c r="O57" s="62" t="s">
        <v>311</v>
      </c>
      <c r="P57" s="63" t="s">
        <v>473</v>
      </c>
    </row>
    <row r="58" spans="2:16" ht="94.5" customHeight="1" x14ac:dyDescent="0.3">
      <c r="B58" s="55">
        <v>18</v>
      </c>
      <c r="C58" s="55">
        <v>53</v>
      </c>
      <c r="D58" s="55" t="s">
        <v>173</v>
      </c>
      <c r="E58" s="56" t="s">
        <v>146</v>
      </c>
      <c r="F58" s="55" t="s">
        <v>145</v>
      </c>
      <c r="G58" s="56" t="s">
        <v>147</v>
      </c>
      <c r="H58" s="59" t="s">
        <v>135</v>
      </c>
      <c r="I58" s="51">
        <v>0.25</v>
      </c>
      <c r="J58" s="52" t="s">
        <v>474</v>
      </c>
      <c r="K58" s="54">
        <f t="shared" si="3"/>
        <v>46331</v>
      </c>
      <c r="L58" s="54">
        <f t="shared" si="2"/>
        <v>46331</v>
      </c>
      <c r="M58" s="52" t="s">
        <v>475</v>
      </c>
      <c r="N58" s="52" t="s">
        <v>476</v>
      </c>
      <c r="O58" s="62" t="s">
        <v>311</v>
      </c>
      <c r="P58" s="63" t="s">
        <v>477</v>
      </c>
    </row>
    <row r="59" spans="2:16" ht="81" customHeight="1" x14ac:dyDescent="0.3">
      <c r="B59" s="51">
        <v>18</v>
      </c>
      <c r="C59" s="51">
        <v>54</v>
      </c>
      <c r="D59" s="51" t="s">
        <v>173</v>
      </c>
      <c r="E59" s="52" t="s">
        <v>146</v>
      </c>
      <c r="F59" s="51" t="s">
        <v>148</v>
      </c>
      <c r="G59" s="52" t="s">
        <v>149</v>
      </c>
      <c r="H59" s="59" t="s">
        <v>135</v>
      </c>
      <c r="I59" s="51">
        <v>0.25</v>
      </c>
      <c r="J59" s="52" t="s">
        <v>145</v>
      </c>
      <c r="K59" s="54">
        <f t="shared" si="3"/>
        <v>46331</v>
      </c>
      <c r="L59" s="54">
        <f t="shared" si="2"/>
        <v>46331</v>
      </c>
      <c r="M59" s="52" t="s">
        <v>478</v>
      </c>
      <c r="N59" s="52"/>
      <c r="O59" s="62" t="s">
        <v>311</v>
      </c>
      <c r="P59" s="63" t="s">
        <v>479</v>
      </c>
    </row>
    <row r="60" spans="2:16" ht="27" customHeight="1" x14ac:dyDescent="0.3">
      <c r="B60" s="51">
        <v>19</v>
      </c>
      <c r="C60" s="51">
        <v>55</v>
      </c>
      <c r="D60" s="51" t="s">
        <v>182</v>
      </c>
      <c r="E60" s="52" t="s">
        <v>152</v>
      </c>
      <c r="F60" s="51" t="s">
        <v>151</v>
      </c>
      <c r="G60" s="52" t="s">
        <v>153</v>
      </c>
      <c r="H60" s="59" t="s">
        <v>135</v>
      </c>
      <c r="I60" s="51">
        <v>1</v>
      </c>
      <c r="J60" s="52" t="s">
        <v>480</v>
      </c>
      <c r="K60" s="54">
        <f t="shared" si="3"/>
        <v>46332</v>
      </c>
      <c r="L60" s="54">
        <f t="shared" si="2"/>
        <v>46336</v>
      </c>
      <c r="M60" s="52" t="s">
        <v>481</v>
      </c>
      <c r="N60" s="52"/>
      <c r="O60" s="62" t="s">
        <v>311</v>
      </c>
      <c r="P60" s="63" t="s">
        <v>482</v>
      </c>
    </row>
    <row r="61" spans="2:16" ht="27" customHeight="1" x14ac:dyDescent="0.3">
      <c r="B61" s="51">
        <v>19</v>
      </c>
      <c r="C61" s="51">
        <v>56</v>
      </c>
      <c r="D61" s="51" t="s">
        <v>182</v>
      </c>
      <c r="E61" s="52" t="s">
        <v>152</v>
      </c>
      <c r="F61" s="51" t="s">
        <v>154</v>
      </c>
      <c r="G61" s="52" t="s">
        <v>155</v>
      </c>
      <c r="H61" s="59" t="s">
        <v>135</v>
      </c>
      <c r="I61" s="51">
        <v>0.5</v>
      </c>
      <c r="J61" s="52" t="s">
        <v>151</v>
      </c>
      <c r="K61" s="54">
        <f t="shared" si="3"/>
        <v>46332</v>
      </c>
      <c r="L61" s="54">
        <f t="shared" si="2"/>
        <v>46336</v>
      </c>
      <c r="M61" s="52" t="s">
        <v>483</v>
      </c>
      <c r="N61" s="52"/>
      <c r="O61" s="62" t="s">
        <v>311</v>
      </c>
      <c r="P61" s="63" t="s">
        <v>484</v>
      </c>
    </row>
    <row r="62" spans="2:16" ht="27" customHeight="1" x14ac:dyDescent="0.3">
      <c r="B62" s="51">
        <v>19</v>
      </c>
      <c r="C62" s="51">
        <v>57</v>
      </c>
      <c r="D62" s="51" t="s">
        <v>182</v>
      </c>
      <c r="E62" s="52" t="s">
        <v>152</v>
      </c>
      <c r="F62" s="51" t="s">
        <v>156</v>
      </c>
      <c r="G62" s="52" t="s">
        <v>157</v>
      </c>
      <c r="H62" s="59" t="s">
        <v>135</v>
      </c>
      <c r="I62" s="51">
        <v>0.5</v>
      </c>
      <c r="J62" s="52" t="s">
        <v>151</v>
      </c>
      <c r="K62" s="54">
        <f t="shared" si="3"/>
        <v>46332</v>
      </c>
      <c r="L62" s="54">
        <f t="shared" si="2"/>
        <v>46336</v>
      </c>
      <c r="M62" s="52" t="s">
        <v>485</v>
      </c>
      <c r="N62" s="52"/>
      <c r="O62" s="62" t="s">
        <v>311</v>
      </c>
      <c r="P62" s="63" t="s">
        <v>486</v>
      </c>
    </row>
    <row r="63" spans="2:16" ht="27" customHeight="1" x14ac:dyDescent="0.3">
      <c r="B63" s="55">
        <v>19</v>
      </c>
      <c r="C63" s="55">
        <v>58</v>
      </c>
      <c r="D63" s="55" t="s">
        <v>182</v>
      </c>
      <c r="E63" s="56" t="s">
        <v>152</v>
      </c>
      <c r="F63" s="55" t="s">
        <v>158</v>
      </c>
      <c r="G63" s="56" t="s">
        <v>131</v>
      </c>
      <c r="H63" s="59" t="s">
        <v>135</v>
      </c>
      <c r="I63" s="51">
        <v>0.15</v>
      </c>
      <c r="J63" s="52" t="s">
        <v>151</v>
      </c>
      <c r="K63" s="54">
        <f t="shared" si="3"/>
        <v>46332</v>
      </c>
      <c r="L63" s="54">
        <f t="shared" si="2"/>
        <v>46336</v>
      </c>
      <c r="M63" s="52" t="s">
        <v>487</v>
      </c>
      <c r="N63" s="58" t="s">
        <v>488</v>
      </c>
      <c r="O63" s="62" t="s">
        <v>311</v>
      </c>
      <c r="P63" s="63" t="s">
        <v>489</v>
      </c>
    </row>
    <row r="64" spans="2:16" ht="94.5" customHeight="1" x14ac:dyDescent="0.3">
      <c r="B64" s="51">
        <v>20</v>
      </c>
      <c r="C64" s="51">
        <v>59</v>
      </c>
      <c r="D64" s="51" t="s">
        <v>186</v>
      </c>
      <c r="E64" s="52" t="s">
        <v>161</v>
      </c>
      <c r="F64" s="51" t="s">
        <v>160</v>
      </c>
      <c r="G64" s="52" t="s">
        <v>162</v>
      </c>
      <c r="H64" s="59" t="s">
        <v>135</v>
      </c>
      <c r="I64" s="51">
        <v>1.5</v>
      </c>
      <c r="J64" s="52" t="s">
        <v>490</v>
      </c>
      <c r="K64" s="54">
        <f t="shared" si="3"/>
        <v>46337</v>
      </c>
      <c r="L64" s="54">
        <f t="shared" si="2"/>
        <v>46339</v>
      </c>
      <c r="M64" s="52" t="s">
        <v>491</v>
      </c>
      <c r="N64" s="52" t="s">
        <v>492</v>
      </c>
      <c r="O64" s="62" t="s">
        <v>311</v>
      </c>
      <c r="P64" s="63" t="s">
        <v>493</v>
      </c>
    </row>
    <row r="65" spans="2:16" ht="67.5" customHeight="1" x14ac:dyDescent="0.3">
      <c r="B65" s="51">
        <v>20</v>
      </c>
      <c r="C65" s="51">
        <v>60</v>
      </c>
      <c r="D65" s="51" t="s">
        <v>186</v>
      </c>
      <c r="E65" s="52" t="s">
        <v>161</v>
      </c>
      <c r="F65" s="51" t="s">
        <v>163</v>
      </c>
      <c r="G65" s="52" t="s">
        <v>164</v>
      </c>
      <c r="H65" s="59" t="s">
        <v>135</v>
      </c>
      <c r="I65" s="51">
        <v>1.5</v>
      </c>
      <c r="J65" s="52" t="s">
        <v>494</v>
      </c>
      <c r="K65" s="54">
        <f t="shared" si="3"/>
        <v>46337</v>
      </c>
      <c r="L65" s="54">
        <f t="shared" si="2"/>
        <v>46339</v>
      </c>
      <c r="M65" s="52" t="s">
        <v>495</v>
      </c>
      <c r="N65" s="52"/>
      <c r="O65" s="62" t="s">
        <v>311</v>
      </c>
      <c r="P65" s="63" t="s">
        <v>496</v>
      </c>
    </row>
    <row r="66" spans="2:16" ht="108" customHeight="1" x14ac:dyDescent="0.3">
      <c r="B66" s="51">
        <v>21</v>
      </c>
      <c r="C66" s="51">
        <v>61</v>
      </c>
      <c r="D66" s="51" t="s">
        <v>190</v>
      </c>
      <c r="E66" s="52" t="s">
        <v>167</v>
      </c>
      <c r="F66" s="51" t="s">
        <v>166</v>
      </c>
      <c r="G66" s="52" t="s">
        <v>168</v>
      </c>
      <c r="H66" s="59" t="s">
        <v>135</v>
      </c>
      <c r="I66" s="51">
        <v>0.5</v>
      </c>
      <c r="J66" s="52" t="s">
        <v>497</v>
      </c>
      <c r="K66" s="54">
        <f t="shared" si="3"/>
        <v>46342</v>
      </c>
      <c r="L66" s="54">
        <f t="shared" si="2"/>
        <v>46343</v>
      </c>
      <c r="M66" s="52" t="s">
        <v>498</v>
      </c>
      <c r="N66" s="52" t="s">
        <v>499</v>
      </c>
      <c r="O66" s="62" t="s">
        <v>311</v>
      </c>
      <c r="P66" s="63" t="s">
        <v>500</v>
      </c>
    </row>
    <row r="67" spans="2:16" ht="67.5" customHeight="1" x14ac:dyDescent="0.3">
      <c r="B67" s="51">
        <v>21</v>
      </c>
      <c r="C67" s="51">
        <v>62</v>
      </c>
      <c r="D67" s="51" t="s">
        <v>190</v>
      </c>
      <c r="E67" s="52" t="s">
        <v>167</v>
      </c>
      <c r="F67" s="51" t="s">
        <v>169</v>
      </c>
      <c r="G67" s="52" t="s">
        <v>170</v>
      </c>
      <c r="H67" s="59" t="s">
        <v>135</v>
      </c>
      <c r="I67" s="51">
        <v>0.5</v>
      </c>
      <c r="J67" s="52" t="s">
        <v>166</v>
      </c>
      <c r="K67" s="54">
        <f t="shared" si="3"/>
        <v>46342</v>
      </c>
      <c r="L67" s="54">
        <f t="shared" si="2"/>
        <v>46343</v>
      </c>
      <c r="M67" s="52" t="s">
        <v>501</v>
      </c>
      <c r="N67" s="52"/>
      <c r="O67" s="62" t="s">
        <v>311</v>
      </c>
      <c r="P67" s="63" t="s">
        <v>502</v>
      </c>
    </row>
    <row r="68" spans="2:16" ht="108" customHeight="1" x14ac:dyDescent="0.3">
      <c r="B68" s="51">
        <v>21</v>
      </c>
      <c r="C68" s="51">
        <v>63</v>
      </c>
      <c r="D68" s="51" t="s">
        <v>190</v>
      </c>
      <c r="E68" s="52" t="s">
        <v>167</v>
      </c>
      <c r="F68" s="51" t="s">
        <v>171</v>
      </c>
      <c r="G68" s="52" t="s">
        <v>172</v>
      </c>
      <c r="H68" s="59" t="s">
        <v>135</v>
      </c>
      <c r="I68" s="51">
        <v>0.5</v>
      </c>
      <c r="J68" s="52" t="s">
        <v>166</v>
      </c>
      <c r="K68" s="54">
        <f t="shared" si="3"/>
        <v>46342</v>
      </c>
      <c r="L68" s="54">
        <f t="shared" si="2"/>
        <v>46343</v>
      </c>
      <c r="M68" s="52" t="s">
        <v>503</v>
      </c>
      <c r="N68" s="52"/>
      <c r="O68" s="62" t="s">
        <v>311</v>
      </c>
      <c r="P68" s="63" t="s">
        <v>504</v>
      </c>
    </row>
    <row r="69" spans="2:16" ht="108" customHeight="1" x14ac:dyDescent="0.3">
      <c r="B69" s="51">
        <v>22</v>
      </c>
      <c r="C69" s="51">
        <v>64</v>
      </c>
      <c r="D69" s="51" t="s">
        <v>197</v>
      </c>
      <c r="E69" s="52" t="s">
        <v>175</v>
      </c>
      <c r="F69" s="51" t="s">
        <v>174</v>
      </c>
      <c r="G69" s="52" t="s">
        <v>176</v>
      </c>
      <c r="H69" s="55" t="s">
        <v>177</v>
      </c>
      <c r="I69" s="51">
        <v>0.5</v>
      </c>
      <c r="J69" s="52" t="s">
        <v>505</v>
      </c>
      <c r="K69" s="54">
        <f t="shared" si="3"/>
        <v>46344</v>
      </c>
      <c r="L69" s="54">
        <f t="shared" si="2"/>
        <v>46345</v>
      </c>
      <c r="M69" s="52" t="s">
        <v>506</v>
      </c>
      <c r="N69" s="52" t="s">
        <v>507</v>
      </c>
      <c r="O69" s="62" t="s">
        <v>311</v>
      </c>
      <c r="P69" s="63" t="s">
        <v>508</v>
      </c>
    </row>
    <row r="70" spans="2:16" ht="67.5" customHeight="1" x14ac:dyDescent="0.3">
      <c r="B70" s="51">
        <v>22</v>
      </c>
      <c r="C70" s="51">
        <v>65</v>
      </c>
      <c r="D70" s="51" t="s">
        <v>197</v>
      </c>
      <c r="E70" s="52" t="s">
        <v>175</v>
      </c>
      <c r="F70" s="51" t="s">
        <v>178</v>
      </c>
      <c r="G70" s="52" t="s">
        <v>179</v>
      </c>
      <c r="H70" s="55" t="s">
        <v>177</v>
      </c>
      <c r="I70" s="51">
        <v>0.5</v>
      </c>
      <c r="J70" s="52" t="s">
        <v>174</v>
      </c>
      <c r="K70" s="54">
        <f t="shared" si="3"/>
        <v>46344</v>
      </c>
      <c r="L70" s="54">
        <f t="shared" ref="L70:L101" si="4">WORKDAY(K70,MAX(1,ROUNDUP(SUMIF($B$6:$B$116,B70,$I$6:$I$116),0))-1)</f>
        <v>46345</v>
      </c>
      <c r="M70" s="52" t="s">
        <v>509</v>
      </c>
      <c r="N70" s="52"/>
      <c r="O70" s="62" t="s">
        <v>311</v>
      </c>
      <c r="P70" s="63" t="s">
        <v>510</v>
      </c>
    </row>
    <row r="71" spans="2:16" ht="40.5" customHeight="1" x14ac:dyDescent="0.3">
      <c r="B71" s="51">
        <v>22</v>
      </c>
      <c r="C71" s="51">
        <v>66</v>
      </c>
      <c r="D71" s="51" t="s">
        <v>197</v>
      </c>
      <c r="E71" s="52" t="s">
        <v>175</v>
      </c>
      <c r="F71" s="51" t="s">
        <v>180</v>
      </c>
      <c r="G71" s="52" t="s">
        <v>181</v>
      </c>
      <c r="H71" s="55" t="s">
        <v>177</v>
      </c>
      <c r="I71" s="51">
        <v>0.5</v>
      </c>
      <c r="J71" s="52" t="s">
        <v>511</v>
      </c>
      <c r="K71" s="54">
        <f t="shared" ref="K71:K103" si="5">IF(B71=B70,K70,WORKDAY(L70,1))</f>
        <v>46344</v>
      </c>
      <c r="L71" s="54">
        <f t="shared" si="4"/>
        <v>46345</v>
      </c>
      <c r="M71" s="52" t="s">
        <v>512</v>
      </c>
      <c r="N71" s="52"/>
      <c r="O71" s="62" t="s">
        <v>311</v>
      </c>
      <c r="P71" s="63" t="s">
        <v>513</v>
      </c>
    </row>
    <row r="72" spans="2:16" ht="67.5" customHeight="1" x14ac:dyDescent="0.3">
      <c r="B72" s="51">
        <v>23</v>
      </c>
      <c r="C72" s="51">
        <v>67</v>
      </c>
      <c r="D72" s="51" t="s">
        <v>203</v>
      </c>
      <c r="E72" s="52" t="s">
        <v>184</v>
      </c>
      <c r="F72" s="51" t="s">
        <v>183</v>
      </c>
      <c r="G72" s="52" t="s">
        <v>185</v>
      </c>
      <c r="H72" s="55" t="s">
        <v>177</v>
      </c>
      <c r="I72" s="51">
        <v>2</v>
      </c>
      <c r="J72" s="52" t="s">
        <v>99</v>
      </c>
      <c r="K72" s="54">
        <f t="shared" si="5"/>
        <v>46346</v>
      </c>
      <c r="L72" s="54">
        <f t="shared" si="4"/>
        <v>46349</v>
      </c>
      <c r="M72" s="52" t="s">
        <v>514</v>
      </c>
      <c r="N72" s="52" t="s">
        <v>507</v>
      </c>
      <c r="O72" s="62" t="s">
        <v>311</v>
      </c>
      <c r="P72" s="63" t="s">
        <v>515</v>
      </c>
    </row>
    <row r="73" spans="2:16" ht="94.5" customHeight="1" x14ac:dyDescent="0.3">
      <c r="B73" s="51">
        <v>24</v>
      </c>
      <c r="C73" s="51">
        <v>68</v>
      </c>
      <c r="D73" s="51" t="s">
        <v>211</v>
      </c>
      <c r="E73" s="52" t="s">
        <v>188</v>
      </c>
      <c r="F73" s="51" t="s">
        <v>187</v>
      </c>
      <c r="G73" s="52" t="s">
        <v>189</v>
      </c>
      <c r="H73" s="55" t="s">
        <v>177</v>
      </c>
      <c r="I73" s="51">
        <v>0.5</v>
      </c>
      <c r="J73" s="52" t="s">
        <v>516</v>
      </c>
      <c r="K73" s="54">
        <f t="shared" si="5"/>
        <v>46350</v>
      </c>
      <c r="L73" s="54">
        <f t="shared" si="4"/>
        <v>46350</v>
      </c>
      <c r="M73" s="52" t="s">
        <v>517</v>
      </c>
      <c r="N73" s="52" t="s">
        <v>507</v>
      </c>
      <c r="O73" s="62" t="s">
        <v>311</v>
      </c>
      <c r="P73" s="63" t="s">
        <v>518</v>
      </c>
    </row>
    <row r="74" spans="2:16" ht="27" customHeight="1" x14ac:dyDescent="0.3">
      <c r="B74" s="51">
        <v>25</v>
      </c>
      <c r="C74" s="51">
        <v>69</v>
      </c>
      <c r="D74" s="51" t="s">
        <v>519</v>
      </c>
      <c r="E74" s="52" t="s">
        <v>192</v>
      </c>
      <c r="F74" s="51" t="s">
        <v>191</v>
      </c>
      <c r="G74" s="52" t="s">
        <v>193</v>
      </c>
      <c r="H74" s="60" t="s">
        <v>194</v>
      </c>
      <c r="I74" s="51">
        <v>0.75</v>
      </c>
      <c r="J74" s="52" t="s">
        <v>520</v>
      </c>
      <c r="K74" s="54">
        <f t="shared" si="5"/>
        <v>46351</v>
      </c>
      <c r="L74" s="54">
        <f t="shared" si="4"/>
        <v>46352</v>
      </c>
      <c r="M74" s="52" t="s">
        <v>521</v>
      </c>
      <c r="N74" s="52" t="s">
        <v>507</v>
      </c>
      <c r="O74" s="62" t="s">
        <v>311</v>
      </c>
      <c r="P74" s="63" t="s">
        <v>522</v>
      </c>
    </row>
    <row r="75" spans="2:16" ht="27" customHeight="1" x14ac:dyDescent="0.3">
      <c r="B75" s="51">
        <v>25</v>
      </c>
      <c r="C75" s="51">
        <v>70</v>
      </c>
      <c r="D75" s="51" t="s">
        <v>519</v>
      </c>
      <c r="E75" s="52" t="s">
        <v>192</v>
      </c>
      <c r="F75" s="51" t="s">
        <v>195</v>
      </c>
      <c r="G75" s="52" t="s">
        <v>196</v>
      </c>
      <c r="H75" s="60" t="s">
        <v>194</v>
      </c>
      <c r="I75" s="51">
        <v>0.75</v>
      </c>
      <c r="J75" s="52" t="s">
        <v>191</v>
      </c>
      <c r="K75" s="54">
        <f t="shared" si="5"/>
        <v>46351</v>
      </c>
      <c r="L75" s="54">
        <f t="shared" si="4"/>
        <v>46352</v>
      </c>
      <c r="M75" s="52" t="s">
        <v>523</v>
      </c>
      <c r="N75" s="52"/>
      <c r="O75" s="62" t="s">
        <v>311</v>
      </c>
      <c r="P75" s="63" t="s">
        <v>524</v>
      </c>
    </row>
    <row r="76" spans="2:16" ht="108" customHeight="1" x14ac:dyDescent="0.3">
      <c r="B76" s="51">
        <v>26</v>
      </c>
      <c r="C76" s="51">
        <v>71</v>
      </c>
      <c r="D76" s="51" t="s">
        <v>525</v>
      </c>
      <c r="E76" s="52" t="s">
        <v>199</v>
      </c>
      <c r="F76" s="51" t="s">
        <v>198</v>
      </c>
      <c r="G76" s="52" t="s">
        <v>200</v>
      </c>
      <c r="H76" s="60" t="s">
        <v>194</v>
      </c>
      <c r="I76" s="51">
        <v>0.5</v>
      </c>
      <c r="J76" s="52" t="s">
        <v>526</v>
      </c>
      <c r="K76" s="54">
        <f t="shared" si="5"/>
        <v>46353</v>
      </c>
      <c r="L76" s="54">
        <f t="shared" si="4"/>
        <v>46353</v>
      </c>
      <c r="M76" s="52" t="s">
        <v>527</v>
      </c>
      <c r="N76" s="52" t="s">
        <v>507</v>
      </c>
      <c r="O76" s="62" t="s">
        <v>311</v>
      </c>
      <c r="P76" s="63" t="s">
        <v>528</v>
      </c>
    </row>
    <row r="77" spans="2:16" ht="94.5" customHeight="1" x14ac:dyDescent="0.3">
      <c r="B77" s="51">
        <v>26</v>
      </c>
      <c r="C77" s="51">
        <v>72</v>
      </c>
      <c r="D77" s="51" t="s">
        <v>525</v>
      </c>
      <c r="E77" s="52" t="s">
        <v>199</v>
      </c>
      <c r="F77" s="51" t="s">
        <v>201</v>
      </c>
      <c r="G77" s="52" t="s">
        <v>202</v>
      </c>
      <c r="H77" s="60" t="s">
        <v>194</v>
      </c>
      <c r="I77" s="51">
        <v>0.5</v>
      </c>
      <c r="J77" s="52" t="s">
        <v>529</v>
      </c>
      <c r="K77" s="54">
        <f t="shared" si="5"/>
        <v>46353</v>
      </c>
      <c r="L77" s="54">
        <f t="shared" si="4"/>
        <v>46353</v>
      </c>
      <c r="M77" s="52" t="s">
        <v>530</v>
      </c>
      <c r="N77" s="52"/>
      <c r="O77" s="62" t="s">
        <v>311</v>
      </c>
      <c r="P77" s="63" t="s">
        <v>531</v>
      </c>
    </row>
    <row r="78" spans="2:16" ht="148.5" customHeight="1" x14ac:dyDescent="0.3">
      <c r="B78" s="51">
        <v>27</v>
      </c>
      <c r="C78" s="51">
        <v>73</v>
      </c>
      <c r="D78" s="51" t="s">
        <v>532</v>
      </c>
      <c r="E78" s="52" t="s">
        <v>205</v>
      </c>
      <c r="F78" s="51" t="s">
        <v>204</v>
      </c>
      <c r="G78" s="52" t="s">
        <v>206</v>
      </c>
      <c r="H78" s="60" t="s">
        <v>194</v>
      </c>
      <c r="I78" s="51">
        <v>2</v>
      </c>
      <c r="J78" s="52" t="s">
        <v>533</v>
      </c>
      <c r="K78" s="54">
        <f t="shared" si="5"/>
        <v>46356</v>
      </c>
      <c r="L78" s="54">
        <f t="shared" si="4"/>
        <v>46363</v>
      </c>
      <c r="M78" s="52" t="s">
        <v>534</v>
      </c>
      <c r="N78" s="52" t="s">
        <v>507</v>
      </c>
      <c r="O78" s="62" t="s">
        <v>311</v>
      </c>
      <c r="P78" s="63" t="s">
        <v>535</v>
      </c>
    </row>
    <row r="79" spans="2:16" ht="121.5" customHeight="1" x14ac:dyDescent="0.3">
      <c r="B79" s="51">
        <v>27</v>
      </c>
      <c r="C79" s="51">
        <v>74</v>
      </c>
      <c r="D79" s="51" t="s">
        <v>532</v>
      </c>
      <c r="E79" s="52" t="s">
        <v>205</v>
      </c>
      <c r="F79" s="51" t="s">
        <v>207</v>
      </c>
      <c r="G79" s="52" t="s">
        <v>208</v>
      </c>
      <c r="H79" s="60" t="s">
        <v>194</v>
      </c>
      <c r="I79" s="51">
        <v>2</v>
      </c>
      <c r="J79" s="52" t="s">
        <v>68</v>
      </c>
      <c r="K79" s="54">
        <f t="shared" si="5"/>
        <v>46356</v>
      </c>
      <c r="L79" s="54">
        <f t="shared" si="4"/>
        <v>46363</v>
      </c>
      <c r="M79" s="52" t="s">
        <v>536</v>
      </c>
      <c r="N79" s="52"/>
      <c r="O79" s="62" t="s">
        <v>311</v>
      </c>
      <c r="P79" s="63" t="s">
        <v>537</v>
      </c>
    </row>
    <row r="80" spans="2:16" ht="216" customHeight="1" x14ac:dyDescent="0.3">
      <c r="B80" s="51">
        <v>27</v>
      </c>
      <c r="C80" s="51">
        <v>75</v>
      </c>
      <c r="D80" s="51" t="s">
        <v>532</v>
      </c>
      <c r="E80" s="52" t="s">
        <v>205</v>
      </c>
      <c r="F80" s="51" t="s">
        <v>209</v>
      </c>
      <c r="G80" s="52" t="s">
        <v>210</v>
      </c>
      <c r="H80" s="60" t="s">
        <v>194</v>
      </c>
      <c r="I80" s="51">
        <v>2</v>
      </c>
      <c r="J80" s="52" t="s">
        <v>99</v>
      </c>
      <c r="K80" s="54">
        <f t="shared" si="5"/>
        <v>46356</v>
      </c>
      <c r="L80" s="54">
        <f t="shared" si="4"/>
        <v>46363</v>
      </c>
      <c r="M80" s="52" t="s">
        <v>538</v>
      </c>
      <c r="N80" s="52"/>
      <c r="O80" s="62" t="s">
        <v>311</v>
      </c>
      <c r="P80" s="63" t="s">
        <v>539</v>
      </c>
    </row>
    <row r="81" spans="2:16" x14ac:dyDescent="0.3">
      <c r="B81" s="51">
        <v>28</v>
      </c>
      <c r="C81" s="51">
        <v>76</v>
      </c>
      <c r="D81" s="51" t="s">
        <v>540</v>
      </c>
      <c r="E81" s="52" t="s">
        <v>213</v>
      </c>
      <c r="F81" s="51" t="s">
        <v>212</v>
      </c>
      <c r="G81" s="52" t="s">
        <v>214</v>
      </c>
      <c r="H81" s="61" t="s">
        <v>215</v>
      </c>
      <c r="I81" s="51">
        <v>1</v>
      </c>
      <c r="J81" s="52" t="s">
        <v>541</v>
      </c>
      <c r="K81" s="54">
        <f t="shared" si="5"/>
        <v>46364</v>
      </c>
      <c r="L81" s="54">
        <f t="shared" si="4"/>
        <v>46392</v>
      </c>
      <c r="M81" s="52" t="s">
        <v>542</v>
      </c>
      <c r="N81" s="52" t="s">
        <v>507</v>
      </c>
      <c r="O81" s="62" t="s">
        <v>543</v>
      </c>
      <c r="P81" s="63"/>
    </row>
    <row r="82" spans="2:16" x14ac:dyDescent="0.3">
      <c r="B82" s="51">
        <v>28</v>
      </c>
      <c r="C82" s="51">
        <v>77</v>
      </c>
      <c r="D82" s="51" t="s">
        <v>540</v>
      </c>
      <c r="E82" s="52" t="s">
        <v>213</v>
      </c>
      <c r="F82" s="51" t="s">
        <v>216</v>
      </c>
      <c r="G82" s="52" t="s">
        <v>217</v>
      </c>
      <c r="H82" s="61" t="s">
        <v>215</v>
      </c>
      <c r="I82" s="51">
        <v>1</v>
      </c>
      <c r="J82" s="52" t="s">
        <v>85</v>
      </c>
      <c r="K82" s="54">
        <f t="shared" si="5"/>
        <v>46364</v>
      </c>
      <c r="L82" s="54">
        <f t="shared" si="4"/>
        <v>46392</v>
      </c>
      <c r="M82" s="52" t="s">
        <v>544</v>
      </c>
      <c r="N82" s="52"/>
      <c r="O82" s="62" t="s">
        <v>543</v>
      </c>
      <c r="P82" s="63"/>
    </row>
    <row r="83" spans="2:16" x14ac:dyDescent="0.3">
      <c r="B83" s="51">
        <v>28</v>
      </c>
      <c r="C83" s="51">
        <v>78</v>
      </c>
      <c r="D83" s="51" t="s">
        <v>540</v>
      </c>
      <c r="E83" s="52" t="s">
        <v>213</v>
      </c>
      <c r="F83" s="51" t="s">
        <v>218</v>
      </c>
      <c r="G83" s="52" t="s">
        <v>219</v>
      </c>
      <c r="H83" s="61" t="s">
        <v>215</v>
      </c>
      <c r="I83" s="51">
        <v>1</v>
      </c>
      <c r="J83" s="52" t="s">
        <v>545</v>
      </c>
      <c r="K83" s="54">
        <f t="shared" si="5"/>
        <v>46364</v>
      </c>
      <c r="L83" s="54">
        <f t="shared" si="4"/>
        <v>46392</v>
      </c>
      <c r="M83" s="52" t="s">
        <v>546</v>
      </c>
      <c r="N83" s="52"/>
      <c r="O83" s="62" t="s">
        <v>543</v>
      </c>
      <c r="P83" s="63"/>
    </row>
    <row r="84" spans="2:16" x14ac:dyDescent="0.3">
      <c r="B84" s="51">
        <v>28</v>
      </c>
      <c r="C84" s="51">
        <v>79</v>
      </c>
      <c r="D84" s="51" t="s">
        <v>540</v>
      </c>
      <c r="E84" s="52" t="s">
        <v>213</v>
      </c>
      <c r="F84" s="51" t="s">
        <v>220</v>
      </c>
      <c r="G84" s="52" t="s">
        <v>221</v>
      </c>
      <c r="H84" s="61" t="s">
        <v>215</v>
      </c>
      <c r="I84" s="51">
        <v>1</v>
      </c>
      <c r="J84" s="52" t="s">
        <v>547</v>
      </c>
      <c r="K84" s="54">
        <f t="shared" si="5"/>
        <v>46364</v>
      </c>
      <c r="L84" s="54">
        <f t="shared" si="4"/>
        <v>46392</v>
      </c>
      <c r="M84" s="52" t="s">
        <v>548</v>
      </c>
      <c r="N84" s="52"/>
      <c r="O84" s="62" t="s">
        <v>543</v>
      </c>
      <c r="P84" s="63"/>
    </row>
    <row r="85" spans="2:16" ht="27" customHeight="1" x14ac:dyDescent="0.3">
      <c r="B85" s="51">
        <v>28</v>
      </c>
      <c r="C85" s="51">
        <v>80</v>
      </c>
      <c r="D85" s="51" t="s">
        <v>540</v>
      </c>
      <c r="E85" s="52" t="s">
        <v>213</v>
      </c>
      <c r="F85" s="51" t="s">
        <v>222</v>
      </c>
      <c r="G85" s="52" t="s">
        <v>223</v>
      </c>
      <c r="H85" s="61" t="s">
        <v>215</v>
      </c>
      <c r="I85" s="51">
        <v>1</v>
      </c>
      <c r="J85" s="52" t="s">
        <v>549</v>
      </c>
      <c r="K85" s="54">
        <f t="shared" si="5"/>
        <v>46364</v>
      </c>
      <c r="L85" s="54">
        <f t="shared" si="4"/>
        <v>46392</v>
      </c>
      <c r="M85" s="52" t="s">
        <v>550</v>
      </c>
      <c r="N85" s="52"/>
      <c r="O85" s="62" t="s">
        <v>307</v>
      </c>
      <c r="P85" s="63" t="s">
        <v>551</v>
      </c>
    </row>
    <row r="86" spans="2:16" ht="108" customHeight="1" x14ac:dyDescent="0.3">
      <c r="B86" s="51">
        <v>28</v>
      </c>
      <c r="C86" s="51">
        <v>81</v>
      </c>
      <c r="D86" s="51" t="s">
        <v>552</v>
      </c>
      <c r="E86" s="52" t="s">
        <v>553</v>
      </c>
      <c r="F86" s="51" t="s">
        <v>554</v>
      </c>
      <c r="G86" s="52" t="s">
        <v>555</v>
      </c>
      <c r="H86" s="61" t="s">
        <v>215</v>
      </c>
      <c r="I86" s="51">
        <v>1</v>
      </c>
      <c r="J86" s="52" t="s">
        <v>222</v>
      </c>
      <c r="K86" s="54">
        <f t="shared" si="5"/>
        <v>46364</v>
      </c>
      <c r="L86" s="54">
        <f t="shared" si="4"/>
        <v>46392</v>
      </c>
      <c r="M86" s="52" t="s">
        <v>556</v>
      </c>
      <c r="N86" s="52" t="s">
        <v>557</v>
      </c>
      <c r="O86" s="62" t="s">
        <v>311</v>
      </c>
      <c r="P86" s="63" t="s">
        <v>558</v>
      </c>
    </row>
    <row r="87" spans="2:16" ht="81" customHeight="1" x14ac:dyDescent="0.3">
      <c r="B87" s="51">
        <v>28</v>
      </c>
      <c r="C87" s="51">
        <v>82</v>
      </c>
      <c r="D87" s="51" t="s">
        <v>552</v>
      </c>
      <c r="E87" s="52" t="s">
        <v>553</v>
      </c>
      <c r="F87" s="51" t="s">
        <v>559</v>
      </c>
      <c r="G87" s="52" t="s">
        <v>560</v>
      </c>
      <c r="H87" s="61" t="s">
        <v>215</v>
      </c>
      <c r="I87" s="51">
        <v>1</v>
      </c>
      <c r="J87" s="52" t="s">
        <v>554</v>
      </c>
      <c r="K87" s="54">
        <f t="shared" si="5"/>
        <v>46364</v>
      </c>
      <c r="L87" s="54">
        <f t="shared" si="4"/>
        <v>46392</v>
      </c>
      <c r="M87" s="52" t="s">
        <v>556</v>
      </c>
      <c r="N87" s="52" t="s">
        <v>557</v>
      </c>
      <c r="O87" s="62" t="s">
        <v>311</v>
      </c>
      <c r="P87" s="63" t="s">
        <v>561</v>
      </c>
    </row>
    <row r="88" spans="2:16" ht="67.5" customHeight="1" x14ac:dyDescent="0.3">
      <c r="B88" s="51">
        <v>28</v>
      </c>
      <c r="C88" s="51">
        <v>83</v>
      </c>
      <c r="D88" s="51" t="s">
        <v>552</v>
      </c>
      <c r="E88" s="52" t="s">
        <v>553</v>
      </c>
      <c r="F88" s="51" t="s">
        <v>562</v>
      </c>
      <c r="G88" s="52" t="s">
        <v>563</v>
      </c>
      <c r="H88" s="61" t="s">
        <v>215</v>
      </c>
      <c r="I88" s="51">
        <v>0.5</v>
      </c>
      <c r="J88" s="52" t="s">
        <v>559</v>
      </c>
      <c r="K88" s="54">
        <f t="shared" si="5"/>
        <v>46364</v>
      </c>
      <c r="L88" s="54">
        <f t="shared" si="4"/>
        <v>46392</v>
      </c>
      <c r="M88" s="52" t="s">
        <v>556</v>
      </c>
      <c r="N88" s="52" t="s">
        <v>557</v>
      </c>
      <c r="O88" s="62" t="s">
        <v>311</v>
      </c>
      <c r="P88" s="63" t="s">
        <v>564</v>
      </c>
    </row>
    <row r="89" spans="2:16" ht="54" customHeight="1" x14ac:dyDescent="0.3">
      <c r="B89" s="51">
        <v>28</v>
      </c>
      <c r="C89" s="51">
        <v>84</v>
      </c>
      <c r="D89" s="51" t="s">
        <v>552</v>
      </c>
      <c r="E89" s="52" t="s">
        <v>553</v>
      </c>
      <c r="F89" s="51" t="s">
        <v>565</v>
      </c>
      <c r="G89" s="52" t="s">
        <v>566</v>
      </c>
      <c r="H89" s="61" t="s">
        <v>215</v>
      </c>
      <c r="I89" s="51">
        <v>0.5</v>
      </c>
      <c r="J89" s="52" t="s">
        <v>559</v>
      </c>
      <c r="K89" s="54">
        <f t="shared" si="5"/>
        <v>46364</v>
      </c>
      <c r="L89" s="54">
        <f t="shared" si="4"/>
        <v>46392</v>
      </c>
      <c r="M89" s="52" t="s">
        <v>556</v>
      </c>
      <c r="N89" s="52" t="s">
        <v>557</v>
      </c>
      <c r="O89" s="62" t="s">
        <v>311</v>
      </c>
      <c r="P89" s="63" t="s">
        <v>567</v>
      </c>
    </row>
    <row r="90" spans="2:16" ht="40.5" customHeight="1" x14ac:dyDescent="0.3">
      <c r="B90" s="51">
        <v>28</v>
      </c>
      <c r="C90" s="51">
        <v>85</v>
      </c>
      <c r="D90" s="51" t="s">
        <v>552</v>
      </c>
      <c r="E90" s="52" t="s">
        <v>553</v>
      </c>
      <c r="F90" s="51" t="s">
        <v>568</v>
      </c>
      <c r="G90" s="52" t="s">
        <v>569</v>
      </c>
      <c r="H90" s="61" t="s">
        <v>215</v>
      </c>
      <c r="I90" s="51">
        <v>0.5</v>
      </c>
      <c r="J90" s="52" t="s">
        <v>222</v>
      </c>
      <c r="K90" s="54">
        <f t="shared" si="5"/>
        <v>46364</v>
      </c>
      <c r="L90" s="54">
        <f t="shared" si="4"/>
        <v>46392</v>
      </c>
      <c r="M90" s="52" t="s">
        <v>556</v>
      </c>
      <c r="N90" s="52" t="s">
        <v>570</v>
      </c>
      <c r="O90" s="62" t="s">
        <v>311</v>
      </c>
      <c r="P90" s="63" t="s">
        <v>571</v>
      </c>
    </row>
    <row r="91" spans="2:16" ht="27" customHeight="1" x14ac:dyDescent="0.3">
      <c r="B91" s="51">
        <v>28</v>
      </c>
      <c r="C91" s="51">
        <v>86</v>
      </c>
      <c r="D91" s="51" t="s">
        <v>552</v>
      </c>
      <c r="E91" s="52" t="s">
        <v>553</v>
      </c>
      <c r="F91" s="51" t="s">
        <v>572</v>
      </c>
      <c r="G91" s="52" t="s">
        <v>573</v>
      </c>
      <c r="H91" s="61" t="s">
        <v>215</v>
      </c>
      <c r="I91" s="51">
        <v>0.5</v>
      </c>
      <c r="J91" s="52" t="s">
        <v>222</v>
      </c>
      <c r="K91" s="54">
        <f t="shared" si="5"/>
        <v>46364</v>
      </c>
      <c r="L91" s="54">
        <f t="shared" si="4"/>
        <v>46392</v>
      </c>
      <c r="M91" s="52" t="s">
        <v>556</v>
      </c>
      <c r="N91" s="52" t="s">
        <v>570</v>
      </c>
      <c r="O91" s="62" t="s">
        <v>311</v>
      </c>
      <c r="P91" s="63" t="s">
        <v>574</v>
      </c>
    </row>
    <row r="92" spans="2:16" ht="40.5" customHeight="1" x14ac:dyDescent="0.3">
      <c r="B92" s="51">
        <v>28</v>
      </c>
      <c r="C92" s="51">
        <v>87</v>
      </c>
      <c r="D92" s="51" t="s">
        <v>552</v>
      </c>
      <c r="E92" s="52" t="s">
        <v>553</v>
      </c>
      <c r="F92" s="51" t="s">
        <v>575</v>
      </c>
      <c r="G92" s="52" t="s">
        <v>576</v>
      </c>
      <c r="H92" s="61" t="s">
        <v>215</v>
      </c>
      <c r="I92" s="51">
        <v>0.5</v>
      </c>
      <c r="J92" s="52" t="s">
        <v>222</v>
      </c>
      <c r="K92" s="54">
        <f t="shared" si="5"/>
        <v>46364</v>
      </c>
      <c r="L92" s="54">
        <f t="shared" si="4"/>
        <v>46392</v>
      </c>
      <c r="M92" s="52" t="s">
        <v>556</v>
      </c>
      <c r="N92" s="52" t="s">
        <v>570</v>
      </c>
      <c r="O92" s="62" t="s">
        <v>311</v>
      </c>
      <c r="P92" s="63" t="s">
        <v>577</v>
      </c>
    </row>
    <row r="93" spans="2:16" ht="27" customHeight="1" x14ac:dyDescent="0.3">
      <c r="B93" s="51">
        <v>28</v>
      </c>
      <c r="C93" s="51">
        <v>88</v>
      </c>
      <c r="D93" s="51" t="s">
        <v>552</v>
      </c>
      <c r="E93" s="52" t="s">
        <v>553</v>
      </c>
      <c r="F93" s="51" t="s">
        <v>578</v>
      </c>
      <c r="G93" s="52" t="s">
        <v>579</v>
      </c>
      <c r="H93" s="61" t="s">
        <v>215</v>
      </c>
      <c r="I93" s="51">
        <v>0.5</v>
      </c>
      <c r="J93" s="52" t="s">
        <v>222</v>
      </c>
      <c r="K93" s="54">
        <f t="shared" si="5"/>
        <v>46364</v>
      </c>
      <c r="L93" s="54">
        <f t="shared" si="4"/>
        <v>46392</v>
      </c>
      <c r="M93" s="52" t="s">
        <v>556</v>
      </c>
      <c r="N93" s="52" t="s">
        <v>570</v>
      </c>
      <c r="O93" s="62" t="s">
        <v>311</v>
      </c>
      <c r="P93" s="63" t="s">
        <v>580</v>
      </c>
    </row>
    <row r="94" spans="2:16" ht="40.5" customHeight="1" x14ac:dyDescent="0.3">
      <c r="B94" s="51">
        <v>28</v>
      </c>
      <c r="C94" s="51">
        <v>89</v>
      </c>
      <c r="D94" s="51" t="s">
        <v>552</v>
      </c>
      <c r="E94" s="52" t="s">
        <v>553</v>
      </c>
      <c r="F94" s="51" t="s">
        <v>581</v>
      </c>
      <c r="G94" s="52" t="s">
        <v>582</v>
      </c>
      <c r="H94" s="61" t="s">
        <v>215</v>
      </c>
      <c r="I94" s="51">
        <v>0.25</v>
      </c>
      <c r="J94" s="52" t="s">
        <v>222</v>
      </c>
      <c r="K94" s="54">
        <f t="shared" si="5"/>
        <v>46364</v>
      </c>
      <c r="L94" s="54">
        <f t="shared" si="4"/>
        <v>46392</v>
      </c>
      <c r="M94" s="52" t="s">
        <v>556</v>
      </c>
      <c r="N94" s="52" t="s">
        <v>570</v>
      </c>
      <c r="O94" s="62" t="s">
        <v>311</v>
      </c>
      <c r="P94" s="63" t="s">
        <v>583</v>
      </c>
    </row>
    <row r="95" spans="2:16" ht="27" customHeight="1" x14ac:dyDescent="0.3">
      <c r="B95" s="51">
        <v>28</v>
      </c>
      <c r="C95" s="51">
        <v>90</v>
      </c>
      <c r="D95" s="51" t="s">
        <v>552</v>
      </c>
      <c r="E95" s="52" t="s">
        <v>553</v>
      </c>
      <c r="F95" s="51" t="s">
        <v>584</v>
      </c>
      <c r="G95" s="52" t="s">
        <v>585</v>
      </c>
      <c r="H95" s="61" t="s">
        <v>215</v>
      </c>
      <c r="I95" s="51">
        <v>0.25</v>
      </c>
      <c r="J95" s="52" t="s">
        <v>222</v>
      </c>
      <c r="K95" s="54">
        <f t="shared" si="5"/>
        <v>46364</v>
      </c>
      <c r="L95" s="54">
        <f t="shared" si="4"/>
        <v>46392</v>
      </c>
      <c r="M95" s="52" t="s">
        <v>556</v>
      </c>
      <c r="N95" s="52" t="s">
        <v>570</v>
      </c>
      <c r="O95" s="62" t="s">
        <v>311</v>
      </c>
      <c r="P95" s="63" t="s">
        <v>586</v>
      </c>
    </row>
    <row r="96" spans="2:16" ht="54" customHeight="1" x14ac:dyDescent="0.3">
      <c r="B96" s="51">
        <v>28</v>
      </c>
      <c r="C96" s="51">
        <v>91</v>
      </c>
      <c r="D96" s="51" t="s">
        <v>552</v>
      </c>
      <c r="E96" s="52" t="s">
        <v>553</v>
      </c>
      <c r="F96" s="51" t="s">
        <v>587</v>
      </c>
      <c r="G96" s="52" t="s">
        <v>588</v>
      </c>
      <c r="H96" s="61" t="s">
        <v>215</v>
      </c>
      <c r="I96" s="51">
        <v>1</v>
      </c>
      <c r="J96" s="52" t="s">
        <v>222</v>
      </c>
      <c r="K96" s="54">
        <f t="shared" si="5"/>
        <v>46364</v>
      </c>
      <c r="L96" s="54">
        <f t="shared" si="4"/>
        <v>46392</v>
      </c>
      <c r="M96" s="52" t="s">
        <v>556</v>
      </c>
      <c r="N96" s="52" t="s">
        <v>570</v>
      </c>
      <c r="O96" s="62" t="s">
        <v>311</v>
      </c>
      <c r="P96" s="63" t="s">
        <v>589</v>
      </c>
    </row>
    <row r="97" spans="2:16" ht="67.5" customHeight="1" x14ac:dyDescent="0.3">
      <c r="B97" s="51">
        <v>28</v>
      </c>
      <c r="C97" s="51">
        <v>92</v>
      </c>
      <c r="D97" s="51" t="s">
        <v>552</v>
      </c>
      <c r="E97" s="52" t="s">
        <v>553</v>
      </c>
      <c r="F97" s="51" t="s">
        <v>590</v>
      </c>
      <c r="G97" s="52" t="s">
        <v>591</v>
      </c>
      <c r="H97" s="61" t="s">
        <v>215</v>
      </c>
      <c r="I97" s="51">
        <v>0.5</v>
      </c>
      <c r="J97" s="52" t="s">
        <v>587</v>
      </c>
      <c r="K97" s="54">
        <f t="shared" si="5"/>
        <v>46364</v>
      </c>
      <c r="L97" s="54">
        <f t="shared" si="4"/>
        <v>46392</v>
      </c>
      <c r="M97" s="52" t="s">
        <v>556</v>
      </c>
      <c r="N97" s="52" t="s">
        <v>557</v>
      </c>
      <c r="O97" s="62" t="s">
        <v>311</v>
      </c>
      <c r="P97" s="63" t="s">
        <v>592</v>
      </c>
    </row>
    <row r="98" spans="2:16" ht="27" customHeight="1" x14ac:dyDescent="0.3">
      <c r="B98" s="51">
        <v>28</v>
      </c>
      <c r="C98" s="51">
        <v>93</v>
      </c>
      <c r="D98" s="51" t="s">
        <v>552</v>
      </c>
      <c r="E98" s="52" t="s">
        <v>553</v>
      </c>
      <c r="F98" s="51" t="s">
        <v>593</v>
      </c>
      <c r="G98" s="52" t="s">
        <v>594</v>
      </c>
      <c r="H98" s="61" t="s">
        <v>215</v>
      </c>
      <c r="I98" s="51">
        <v>0.25</v>
      </c>
      <c r="J98" s="52" t="s">
        <v>222</v>
      </c>
      <c r="K98" s="54">
        <f t="shared" si="5"/>
        <v>46364</v>
      </c>
      <c r="L98" s="54">
        <f t="shared" si="4"/>
        <v>46392</v>
      </c>
      <c r="M98" s="52" t="s">
        <v>556</v>
      </c>
      <c r="N98" s="52" t="s">
        <v>570</v>
      </c>
      <c r="O98" s="62" t="s">
        <v>311</v>
      </c>
      <c r="P98" s="63" t="s">
        <v>595</v>
      </c>
    </row>
    <row r="99" spans="2:16" ht="27" customHeight="1" x14ac:dyDescent="0.3">
      <c r="B99" s="51">
        <v>28</v>
      </c>
      <c r="C99" s="51">
        <v>94</v>
      </c>
      <c r="D99" s="51" t="s">
        <v>552</v>
      </c>
      <c r="E99" s="52" t="s">
        <v>553</v>
      </c>
      <c r="F99" s="51" t="s">
        <v>596</v>
      </c>
      <c r="G99" s="52" t="s">
        <v>597</v>
      </c>
      <c r="H99" s="61" t="s">
        <v>215</v>
      </c>
      <c r="I99" s="51">
        <v>0.25</v>
      </c>
      <c r="J99" s="52" t="s">
        <v>222</v>
      </c>
      <c r="K99" s="54">
        <f t="shared" si="5"/>
        <v>46364</v>
      </c>
      <c r="L99" s="54">
        <f t="shared" si="4"/>
        <v>46392</v>
      </c>
      <c r="M99" s="52" t="s">
        <v>556</v>
      </c>
      <c r="N99" s="52" t="s">
        <v>570</v>
      </c>
      <c r="O99" s="62" t="s">
        <v>311</v>
      </c>
      <c r="P99" s="63" t="s">
        <v>598</v>
      </c>
    </row>
    <row r="100" spans="2:16" x14ac:dyDescent="0.3">
      <c r="B100" s="51">
        <v>28</v>
      </c>
      <c r="C100" s="51">
        <v>95</v>
      </c>
      <c r="D100" s="51" t="s">
        <v>552</v>
      </c>
      <c r="E100" s="52" t="s">
        <v>553</v>
      </c>
      <c r="F100" s="51" t="s">
        <v>599</v>
      </c>
      <c r="G100" s="52" t="s">
        <v>600</v>
      </c>
      <c r="H100" s="61" t="s">
        <v>215</v>
      </c>
      <c r="I100" s="51">
        <v>1</v>
      </c>
      <c r="J100" s="52" t="s">
        <v>222</v>
      </c>
      <c r="K100" s="54">
        <f t="shared" si="5"/>
        <v>46364</v>
      </c>
      <c r="L100" s="54">
        <f t="shared" si="4"/>
        <v>46392</v>
      </c>
      <c r="M100" s="52" t="s">
        <v>556</v>
      </c>
      <c r="N100" s="52" t="s">
        <v>570</v>
      </c>
      <c r="O100" s="62" t="s">
        <v>543</v>
      </c>
      <c r="P100" s="63" t="s">
        <v>601</v>
      </c>
    </row>
    <row r="101" spans="2:16" ht="40.5" customHeight="1" x14ac:dyDescent="0.3">
      <c r="B101" s="51">
        <v>28</v>
      </c>
      <c r="C101" s="51">
        <v>96</v>
      </c>
      <c r="D101" s="51" t="s">
        <v>552</v>
      </c>
      <c r="E101" s="52" t="s">
        <v>553</v>
      </c>
      <c r="F101" s="51" t="s">
        <v>602</v>
      </c>
      <c r="G101" s="52" t="s">
        <v>603</v>
      </c>
      <c r="H101" s="61" t="s">
        <v>215</v>
      </c>
      <c r="I101" s="51">
        <v>0.5</v>
      </c>
      <c r="J101" s="52" t="s">
        <v>11</v>
      </c>
      <c r="K101" s="54">
        <f t="shared" si="5"/>
        <v>46364</v>
      </c>
      <c r="L101" s="54">
        <f t="shared" si="4"/>
        <v>46392</v>
      </c>
      <c r="M101" s="52" t="s">
        <v>556</v>
      </c>
      <c r="N101" s="52" t="s">
        <v>570</v>
      </c>
      <c r="O101" s="62" t="s">
        <v>604</v>
      </c>
      <c r="P101" s="63" t="s">
        <v>605</v>
      </c>
    </row>
    <row r="102" spans="2:16" ht="40.5" customHeight="1" x14ac:dyDescent="0.3">
      <c r="B102" s="51">
        <v>28</v>
      </c>
      <c r="C102" s="51">
        <v>97</v>
      </c>
      <c r="D102" s="51" t="s">
        <v>552</v>
      </c>
      <c r="E102" s="52" t="s">
        <v>553</v>
      </c>
      <c r="F102" s="51" t="s">
        <v>606</v>
      </c>
      <c r="G102" s="52" t="s">
        <v>607</v>
      </c>
      <c r="H102" s="61" t="s">
        <v>215</v>
      </c>
      <c r="I102" s="51">
        <v>0.5</v>
      </c>
      <c r="J102" s="52" t="s">
        <v>222</v>
      </c>
      <c r="K102" s="54">
        <f t="shared" si="5"/>
        <v>46364</v>
      </c>
      <c r="L102" s="54">
        <f t="shared" ref="L102:L116" si="6">WORKDAY(K102,MAX(1,ROUNDUP(SUMIF($B$6:$B$116,B102,$I$6:$I$116),0))-1)</f>
        <v>46392</v>
      </c>
      <c r="M102" s="52" t="s">
        <v>556</v>
      </c>
      <c r="N102" s="52" t="s">
        <v>557</v>
      </c>
      <c r="O102" s="62" t="s">
        <v>311</v>
      </c>
      <c r="P102" s="63" t="s">
        <v>608</v>
      </c>
    </row>
    <row r="103" spans="2:16" ht="54" customHeight="1" x14ac:dyDescent="0.3">
      <c r="B103" s="51">
        <v>28</v>
      </c>
      <c r="C103" s="51">
        <v>98</v>
      </c>
      <c r="D103" s="51" t="s">
        <v>552</v>
      </c>
      <c r="E103" s="52" t="s">
        <v>553</v>
      </c>
      <c r="F103" s="51" t="s">
        <v>609</v>
      </c>
      <c r="G103" s="52" t="s">
        <v>610</v>
      </c>
      <c r="H103" s="61" t="s">
        <v>215</v>
      </c>
      <c r="I103" s="51">
        <v>0.5</v>
      </c>
      <c r="J103" s="52" t="s">
        <v>611</v>
      </c>
      <c r="K103" s="54">
        <f t="shared" si="5"/>
        <v>46364</v>
      </c>
      <c r="L103" s="54">
        <f t="shared" si="6"/>
        <v>46392</v>
      </c>
      <c r="M103" s="52" t="s">
        <v>556</v>
      </c>
      <c r="N103" s="52" t="s">
        <v>557</v>
      </c>
      <c r="O103" s="62" t="s">
        <v>543</v>
      </c>
      <c r="P103" s="63" t="s">
        <v>612</v>
      </c>
    </row>
    <row r="104" spans="2:16" ht="54" customHeight="1" x14ac:dyDescent="0.3">
      <c r="B104" s="51">
        <v>28</v>
      </c>
      <c r="C104" s="51">
        <v>99</v>
      </c>
      <c r="D104" s="51" t="s">
        <v>552</v>
      </c>
      <c r="E104" s="52" t="s">
        <v>553</v>
      </c>
      <c r="F104" s="51" t="s">
        <v>640</v>
      </c>
      <c r="G104" s="52" t="s">
        <v>641</v>
      </c>
      <c r="H104" s="61" t="s">
        <v>215</v>
      </c>
      <c r="I104" s="51">
        <v>0.25</v>
      </c>
      <c r="J104" s="52" t="s">
        <v>562</v>
      </c>
      <c r="K104" s="54">
        <f t="shared" ref="K104:K114" si="7">IF(B104=B103,K103,WORKDAY(L103,1))</f>
        <v>46364</v>
      </c>
      <c r="L104" s="54">
        <f t="shared" si="6"/>
        <v>46392</v>
      </c>
      <c r="M104" s="52" t="s">
        <v>642</v>
      </c>
      <c r="N104" s="52" t="s">
        <v>643</v>
      </c>
      <c r="O104" s="62" t="s">
        <v>311</v>
      </c>
      <c r="P104" s="63" t="s">
        <v>665</v>
      </c>
    </row>
    <row r="105" spans="2:16" ht="54" customHeight="1" x14ac:dyDescent="0.3">
      <c r="B105" s="51">
        <v>28</v>
      </c>
      <c r="C105" s="51">
        <v>100</v>
      </c>
      <c r="D105" s="51" t="s">
        <v>552</v>
      </c>
      <c r="E105" s="52" t="s">
        <v>553</v>
      </c>
      <c r="F105" s="51" t="s">
        <v>644</v>
      </c>
      <c r="G105" s="52" t="s">
        <v>645</v>
      </c>
      <c r="H105" s="61" t="s">
        <v>215</v>
      </c>
      <c r="I105" s="51">
        <v>1</v>
      </c>
      <c r="J105" s="52" t="s">
        <v>222</v>
      </c>
      <c r="K105" s="54">
        <f t="shared" si="7"/>
        <v>46364</v>
      </c>
      <c r="L105" s="54">
        <f t="shared" si="6"/>
        <v>46392</v>
      </c>
      <c r="M105" s="52" t="s">
        <v>642</v>
      </c>
      <c r="N105" s="52" t="s">
        <v>643</v>
      </c>
      <c r="O105" s="62" t="s">
        <v>311</v>
      </c>
      <c r="P105" s="63" t="s">
        <v>674</v>
      </c>
    </row>
    <row r="106" spans="2:16" ht="54" customHeight="1" x14ac:dyDescent="0.3">
      <c r="B106" s="51">
        <v>28</v>
      </c>
      <c r="C106" s="51">
        <v>101</v>
      </c>
      <c r="D106" s="51" t="s">
        <v>552</v>
      </c>
      <c r="E106" s="52" t="s">
        <v>553</v>
      </c>
      <c r="F106" s="51" t="s">
        <v>646</v>
      </c>
      <c r="G106" s="52" t="s">
        <v>647</v>
      </c>
      <c r="H106" s="61" t="s">
        <v>215</v>
      </c>
      <c r="I106" s="51">
        <v>0.5</v>
      </c>
      <c r="J106" s="52" t="s">
        <v>222</v>
      </c>
      <c r="K106" s="54">
        <f t="shared" si="7"/>
        <v>46364</v>
      </c>
      <c r="L106" s="54">
        <f t="shared" si="6"/>
        <v>46392</v>
      </c>
      <c r="M106" s="52" t="s">
        <v>642</v>
      </c>
      <c r="N106" s="52" t="s">
        <v>643</v>
      </c>
      <c r="O106" s="62" t="s">
        <v>311</v>
      </c>
      <c r="P106" s="63" t="s">
        <v>668</v>
      </c>
    </row>
    <row r="107" spans="2:16" ht="54" customHeight="1" x14ac:dyDescent="0.3">
      <c r="B107" s="51">
        <v>28</v>
      </c>
      <c r="C107" s="51">
        <v>102</v>
      </c>
      <c r="D107" s="51" t="s">
        <v>552</v>
      </c>
      <c r="E107" s="52" t="s">
        <v>553</v>
      </c>
      <c r="F107" s="51" t="s">
        <v>648</v>
      </c>
      <c r="G107" s="52" t="s">
        <v>649</v>
      </c>
      <c r="H107" s="61" t="s">
        <v>215</v>
      </c>
      <c r="I107" s="51">
        <v>0.25</v>
      </c>
      <c r="J107" s="52" t="s">
        <v>222</v>
      </c>
      <c r="K107" s="54">
        <f t="shared" si="7"/>
        <v>46364</v>
      </c>
      <c r="L107" s="54">
        <f t="shared" si="6"/>
        <v>46392</v>
      </c>
      <c r="M107" s="52" t="s">
        <v>642</v>
      </c>
      <c r="N107" s="52" t="s">
        <v>643</v>
      </c>
      <c r="O107" s="62" t="s">
        <v>311</v>
      </c>
      <c r="P107" s="63" t="s">
        <v>669</v>
      </c>
    </row>
    <row r="108" spans="2:16" ht="54" customHeight="1" x14ac:dyDescent="0.3">
      <c r="B108" s="51">
        <v>28</v>
      </c>
      <c r="C108" s="51">
        <v>103</v>
      </c>
      <c r="D108" s="51" t="s">
        <v>552</v>
      </c>
      <c r="E108" s="52" t="s">
        <v>553</v>
      </c>
      <c r="F108" s="51" t="s">
        <v>650</v>
      </c>
      <c r="G108" s="52" t="s">
        <v>651</v>
      </c>
      <c r="H108" s="61" t="s">
        <v>215</v>
      </c>
      <c r="I108" s="51">
        <v>0.25</v>
      </c>
      <c r="J108" s="52" t="s">
        <v>222</v>
      </c>
      <c r="K108" s="54">
        <f t="shared" si="7"/>
        <v>46364</v>
      </c>
      <c r="L108" s="54">
        <f t="shared" si="6"/>
        <v>46392</v>
      </c>
      <c r="M108" s="52" t="s">
        <v>642</v>
      </c>
      <c r="N108" s="52" t="s">
        <v>643</v>
      </c>
      <c r="O108" s="62" t="s">
        <v>311</v>
      </c>
      <c r="P108" s="63" t="s">
        <v>667</v>
      </c>
    </row>
    <row r="109" spans="2:16" ht="54" customHeight="1" x14ac:dyDescent="0.3">
      <c r="B109" s="51">
        <v>28</v>
      </c>
      <c r="C109" s="51">
        <v>104</v>
      </c>
      <c r="D109" s="51" t="s">
        <v>552</v>
      </c>
      <c r="E109" s="52" t="s">
        <v>553</v>
      </c>
      <c r="F109" s="51" t="s">
        <v>652</v>
      </c>
      <c r="G109" s="52" t="s">
        <v>653</v>
      </c>
      <c r="H109" s="61" t="s">
        <v>215</v>
      </c>
      <c r="I109" s="51">
        <v>0.5</v>
      </c>
      <c r="J109" s="52" t="s">
        <v>222</v>
      </c>
      <c r="K109" s="54">
        <f t="shared" si="7"/>
        <v>46364</v>
      </c>
      <c r="L109" s="54">
        <f t="shared" si="6"/>
        <v>46392</v>
      </c>
      <c r="M109" s="52" t="s">
        <v>642</v>
      </c>
      <c r="N109" s="52" t="s">
        <v>643</v>
      </c>
      <c r="O109" s="62" t="s">
        <v>311</v>
      </c>
      <c r="P109" s="63" t="s">
        <v>670</v>
      </c>
    </row>
    <row r="110" spans="2:16" ht="54" customHeight="1" x14ac:dyDescent="0.3">
      <c r="B110" s="51">
        <v>28</v>
      </c>
      <c r="C110" s="51">
        <v>105</v>
      </c>
      <c r="D110" s="51" t="s">
        <v>552</v>
      </c>
      <c r="E110" s="52" t="s">
        <v>553</v>
      </c>
      <c r="F110" s="51" t="s">
        <v>654</v>
      </c>
      <c r="G110" s="52" t="s">
        <v>655</v>
      </c>
      <c r="H110" s="61" t="s">
        <v>215</v>
      </c>
      <c r="I110" s="51">
        <v>0.5</v>
      </c>
      <c r="J110" s="52" t="s">
        <v>222</v>
      </c>
      <c r="K110" s="54">
        <f t="shared" si="7"/>
        <v>46364</v>
      </c>
      <c r="L110" s="54">
        <f t="shared" si="6"/>
        <v>46392</v>
      </c>
      <c r="M110" s="52" t="s">
        <v>642</v>
      </c>
      <c r="N110" s="52" t="s">
        <v>643</v>
      </c>
      <c r="O110" s="62" t="s">
        <v>311</v>
      </c>
      <c r="P110" s="63" t="s">
        <v>671</v>
      </c>
    </row>
    <row r="111" spans="2:16" ht="54" customHeight="1" x14ac:dyDescent="0.3">
      <c r="B111" s="51">
        <v>28</v>
      </c>
      <c r="C111" s="51">
        <v>106</v>
      </c>
      <c r="D111" s="51" t="s">
        <v>552</v>
      </c>
      <c r="E111" s="52" t="s">
        <v>553</v>
      </c>
      <c r="F111" s="51" t="s">
        <v>656</v>
      </c>
      <c r="G111" s="52" t="s">
        <v>657</v>
      </c>
      <c r="H111" s="61" t="s">
        <v>215</v>
      </c>
      <c r="I111" s="51">
        <v>0.5</v>
      </c>
      <c r="J111" s="52" t="s">
        <v>222</v>
      </c>
      <c r="K111" s="54">
        <f t="shared" si="7"/>
        <v>46364</v>
      </c>
      <c r="L111" s="54">
        <f t="shared" si="6"/>
        <v>46392</v>
      </c>
      <c r="M111" s="52" t="s">
        <v>642</v>
      </c>
      <c r="N111" s="52" t="s">
        <v>643</v>
      </c>
      <c r="O111" s="62" t="s">
        <v>311</v>
      </c>
      <c r="P111" s="63" t="s">
        <v>672</v>
      </c>
    </row>
    <row r="112" spans="2:16" ht="54" customHeight="1" x14ac:dyDescent="0.3">
      <c r="B112" s="51">
        <v>28</v>
      </c>
      <c r="C112" s="51">
        <v>107</v>
      </c>
      <c r="D112" s="51" t="s">
        <v>552</v>
      </c>
      <c r="E112" s="52" t="s">
        <v>553</v>
      </c>
      <c r="F112" s="51" t="s">
        <v>658</v>
      </c>
      <c r="G112" s="52" t="s">
        <v>659</v>
      </c>
      <c r="H112" s="61" t="s">
        <v>215</v>
      </c>
      <c r="I112" s="51">
        <v>0.25</v>
      </c>
      <c r="J112" s="52" t="s">
        <v>222</v>
      </c>
      <c r="K112" s="54">
        <f t="shared" si="7"/>
        <v>46364</v>
      </c>
      <c r="L112" s="54">
        <f t="shared" si="6"/>
        <v>46392</v>
      </c>
      <c r="M112" s="52" t="s">
        <v>642</v>
      </c>
      <c r="N112" s="52" t="s">
        <v>643</v>
      </c>
      <c r="O112" s="62" t="s">
        <v>311</v>
      </c>
      <c r="P112" s="63" t="s">
        <v>666</v>
      </c>
    </row>
    <row r="113" spans="2:16" ht="54" customHeight="1" x14ac:dyDescent="0.3">
      <c r="B113" s="51">
        <v>28</v>
      </c>
      <c r="C113" s="51">
        <v>108</v>
      </c>
      <c r="D113" s="51" t="s">
        <v>552</v>
      </c>
      <c r="E113" s="52" t="s">
        <v>553</v>
      </c>
      <c r="F113" s="51" t="s">
        <v>660</v>
      </c>
      <c r="G113" s="52" t="s">
        <v>661</v>
      </c>
      <c r="H113" s="61" t="s">
        <v>215</v>
      </c>
      <c r="I113" s="51">
        <v>0.5</v>
      </c>
      <c r="J113" s="52" t="s">
        <v>222</v>
      </c>
      <c r="K113" s="54">
        <f t="shared" si="7"/>
        <v>46364</v>
      </c>
      <c r="L113" s="54">
        <f t="shared" si="6"/>
        <v>46392</v>
      </c>
      <c r="M113" s="52" t="s">
        <v>642</v>
      </c>
      <c r="N113" s="52" t="s">
        <v>643</v>
      </c>
      <c r="O113" s="62" t="s">
        <v>311</v>
      </c>
      <c r="P113" s="63" t="s">
        <v>673</v>
      </c>
    </row>
    <row r="114" spans="2:16" ht="54" customHeight="1" x14ac:dyDescent="0.3">
      <c r="B114" s="51">
        <v>28</v>
      </c>
      <c r="C114" s="51">
        <v>109</v>
      </c>
      <c r="D114" s="51" t="s">
        <v>552</v>
      </c>
      <c r="E114" s="52" t="s">
        <v>553</v>
      </c>
      <c r="F114" s="51" t="s">
        <v>662</v>
      </c>
      <c r="G114" s="52" t="s">
        <v>663</v>
      </c>
      <c r="H114" s="61" t="s">
        <v>215</v>
      </c>
      <c r="I114" s="51">
        <v>0.5</v>
      </c>
      <c r="J114" s="52" t="s">
        <v>664</v>
      </c>
      <c r="K114" s="54">
        <f t="shared" si="7"/>
        <v>46364</v>
      </c>
      <c r="L114" s="54">
        <f t="shared" si="6"/>
        <v>46392</v>
      </c>
      <c r="M114" s="52" t="s">
        <v>642</v>
      </c>
      <c r="N114" s="52" t="s">
        <v>643</v>
      </c>
      <c r="O114" s="62" t="s">
        <v>543</v>
      </c>
      <c r="P114" s="63" t="s">
        <v>675</v>
      </c>
    </row>
    <row r="115" spans="2:16" x14ac:dyDescent="0.3">
      <c r="B115" s="51">
        <v>28</v>
      </c>
      <c r="C115" s="51">
        <v>110</v>
      </c>
      <c r="D115" s="51" t="s">
        <v>540</v>
      </c>
      <c r="E115" s="52" t="s">
        <v>213</v>
      </c>
      <c r="F115" s="51" t="s">
        <v>224</v>
      </c>
      <c r="G115" s="52" t="s">
        <v>225</v>
      </c>
      <c r="H115" s="61" t="s">
        <v>215</v>
      </c>
      <c r="I115" s="51">
        <v>1</v>
      </c>
      <c r="J115" s="52" t="s">
        <v>222</v>
      </c>
      <c r="K115" s="54">
        <f>IF(B115=B85,K85,WORKDAY(L85,1))</f>
        <v>46364</v>
      </c>
      <c r="L115" s="54">
        <f t="shared" si="6"/>
        <v>46392</v>
      </c>
      <c r="M115" s="52" t="s">
        <v>613</v>
      </c>
      <c r="N115" s="52"/>
      <c r="O115" s="62" t="s">
        <v>543</v>
      </c>
      <c r="P115" s="63"/>
    </row>
    <row r="116" spans="2:16" x14ac:dyDescent="0.3">
      <c r="B116" s="55">
        <v>29</v>
      </c>
      <c r="C116" s="55">
        <v>111</v>
      </c>
      <c r="D116" s="55" t="s">
        <v>614</v>
      </c>
      <c r="E116" s="56" t="s">
        <v>227</v>
      </c>
      <c r="F116" s="55" t="s">
        <v>226</v>
      </c>
      <c r="G116" s="56" t="s">
        <v>228</v>
      </c>
      <c r="H116" s="61" t="s">
        <v>215</v>
      </c>
      <c r="I116" s="51">
        <v>1</v>
      </c>
      <c r="J116" s="52" t="s">
        <v>615</v>
      </c>
      <c r="K116" s="54">
        <f>IF(B116=B115,K115,WORKDAY(L115,1))</f>
        <v>46393</v>
      </c>
      <c r="L116" s="54">
        <f t="shared" si="6"/>
        <v>46393</v>
      </c>
      <c r="M116" s="52" t="s">
        <v>616</v>
      </c>
      <c r="N116" s="52" t="s">
        <v>617</v>
      </c>
      <c r="O116" s="62" t="s">
        <v>543</v>
      </c>
      <c r="P116" s="63"/>
    </row>
    <row r="118" spans="2:16" x14ac:dyDescent="0.3">
      <c r="B118" s="74" t="s">
        <v>618</v>
      </c>
      <c r="C118" s="72"/>
      <c r="D118" s="72"/>
      <c r="E118" s="72"/>
      <c r="F118" s="72"/>
      <c r="G118" s="72"/>
      <c r="H118" s="72"/>
      <c r="I118" s="72"/>
      <c r="J118" s="72"/>
      <c r="K118" s="72"/>
      <c r="L118" s="72"/>
      <c r="M118" s="72"/>
      <c r="N118" s="72"/>
    </row>
    <row r="119" spans="2:16" ht="27.9" customHeight="1" x14ac:dyDescent="0.3">
      <c r="B119" s="73" t="s">
        <v>619</v>
      </c>
      <c r="C119" s="72"/>
      <c r="D119" s="72"/>
      <c r="E119" s="72"/>
      <c r="F119" s="72"/>
      <c r="G119" s="72"/>
      <c r="H119" s="72"/>
      <c r="I119" s="72"/>
      <c r="J119" s="72"/>
      <c r="K119" s="72"/>
      <c r="L119" s="72"/>
      <c r="M119" s="72"/>
      <c r="N119" s="72"/>
    </row>
    <row r="120" spans="2:16" ht="27.9" customHeight="1" x14ac:dyDescent="0.3">
      <c r="B120" s="73" t="s">
        <v>620</v>
      </c>
      <c r="C120" s="72"/>
      <c r="D120" s="72"/>
      <c r="E120" s="72"/>
      <c r="F120" s="72"/>
      <c r="G120" s="72"/>
      <c r="H120" s="72"/>
      <c r="I120" s="72"/>
      <c r="J120" s="72"/>
      <c r="K120" s="72"/>
      <c r="L120" s="72"/>
      <c r="M120" s="72"/>
      <c r="N120" s="72"/>
    </row>
    <row r="121" spans="2:16" ht="27.9" customHeight="1" x14ac:dyDescent="0.3">
      <c r="B121" s="73" t="s">
        <v>621</v>
      </c>
      <c r="C121" s="72"/>
      <c r="D121" s="72"/>
      <c r="E121" s="72"/>
      <c r="F121" s="72"/>
      <c r="G121" s="72"/>
      <c r="H121" s="72"/>
      <c r="I121" s="72"/>
      <c r="J121" s="72"/>
      <c r="K121" s="72"/>
      <c r="L121" s="72"/>
      <c r="M121" s="72"/>
      <c r="N121" s="72"/>
    </row>
    <row r="123" spans="2:16" ht="15.75" customHeight="1" x14ac:dyDescent="0.3">
      <c r="B123" s="64" t="s">
        <v>676</v>
      </c>
    </row>
    <row r="124" spans="2:16" ht="40.5" customHeight="1" x14ac:dyDescent="0.3">
      <c r="B124" s="65" t="s">
        <v>3</v>
      </c>
      <c r="C124" s="65" t="s">
        <v>311</v>
      </c>
      <c r="D124" s="65" t="s">
        <v>307</v>
      </c>
      <c r="E124" s="65" t="s">
        <v>543</v>
      </c>
      <c r="F124" s="65" t="s">
        <v>604</v>
      </c>
      <c r="G124" s="65" t="s">
        <v>622</v>
      </c>
      <c r="H124" s="65" t="s">
        <v>623</v>
      </c>
    </row>
    <row r="125" spans="2:16" x14ac:dyDescent="0.3">
      <c r="B125" s="66" t="s">
        <v>14</v>
      </c>
      <c r="C125" s="66">
        <f>COUNTIFS($H$6:$H$116,"P0",$O$6:$O$116,"Completed")</f>
        <v>0</v>
      </c>
      <c r="D125" s="66">
        <f>COUNTIFS($H$6:$H$116,"P0",$O$6:$O$116,"In Progress")</f>
        <v>1</v>
      </c>
      <c r="E125" s="66">
        <f>COUNTIFS($H$6:$H$116,"P0",$O$6:$O$116,"Not Started")</f>
        <v>0</v>
      </c>
      <c r="F125" s="66">
        <f>COUNTIFS($H$6:$H$116,"P0",$O$6:$O$116,"Pending")</f>
        <v>0</v>
      </c>
      <c r="G125" s="67">
        <f t="shared" ref="G125:G131" si="8">SUM(C125:F125)</f>
        <v>1</v>
      </c>
      <c r="H125" s="68">
        <f t="shared" ref="H125:H131" si="9">IF(G125=0,0,C125/G125)</f>
        <v>0</v>
      </c>
    </row>
    <row r="126" spans="2:16" x14ac:dyDescent="0.3">
      <c r="B126" s="66" t="s">
        <v>19</v>
      </c>
      <c r="C126" s="66">
        <f>COUNTIFS($H$6:$H$116,"P1",$O$6:$O$116,"Completed")</f>
        <v>50</v>
      </c>
      <c r="D126" s="66">
        <f>COUNTIFS($H$6:$H$116,"P1",$O$6:$O$116,"In Progress")</f>
        <v>1</v>
      </c>
      <c r="E126" s="66">
        <f>COUNTIFS($H$6:$H$116,"P1",$O$6:$O$116,"Not Started")</f>
        <v>0</v>
      </c>
      <c r="F126" s="66">
        <f>COUNTIFS($H$6:$H$116,"P1",$O$6:$O$116,"Pending")</f>
        <v>0</v>
      </c>
      <c r="G126" s="67">
        <f t="shared" si="8"/>
        <v>51</v>
      </c>
      <c r="H126" s="68">
        <f t="shared" si="9"/>
        <v>0.98039215686274506</v>
      </c>
    </row>
    <row r="127" spans="2:16" x14ac:dyDescent="0.3">
      <c r="B127" s="66" t="s">
        <v>135</v>
      </c>
      <c r="C127" s="66">
        <f>COUNTIFS($H$6:$H$116,"P2",$O$6:$O$116,"Completed")</f>
        <v>11</v>
      </c>
      <c r="D127" s="66">
        <f>COUNTIFS($H$6:$H$116,"P2",$O$6:$O$116,"In Progress")</f>
        <v>0</v>
      </c>
      <c r="E127" s="66">
        <f>COUNTIFS($H$6:$H$116,"P2",$O$6:$O$116,"Not Started")</f>
        <v>0</v>
      </c>
      <c r="F127" s="66">
        <f>COUNTIFS($H$6:$H$116,"P2",$O$6:$O$116,"Pending")</f>
        <v>0</v>
      </c>
      <c r="G127" s="67">
        <f t="shared" si="8"/>
        <v>11</v>
      </c>
      <c r="H127" s="68">
        <f t="shared" si="9"/>
        <v>1</v>
      </c>
    </row>
    <row r="128" spans="2:16" x14ac:dyDescent="0.3">
      <c r="B128" s="66" t="s">
        <v>177</v>
      </c>
      <c r="C128" s="66">
        <f>COUNTIFS($H$6:$H$116,"P3",$O$6:$O$116,"Completed")</f>
        <v>5</v>
      </c>
      <c r="D128" s="66">
        <f>COUNTIFS($H$6:$H$116,"P3",$O$6:$O$116,"In Progress")</f>
        <v>0</v>
      </c>
      <c r="E128" s="66">
        <f>COUNTIFS($H$6:$H$116,"P3",$O$6:$O$116,"Not Started")</f>
        <v>0</v>
      </c>
      <c r="F128" s="66">
        <f>COUNTIFS($H$6:$H$116,"P3",$O$6:$O$116,"Pending")</f>
        <v>0</v>
      </c>
      <c r="G128" s="67">
        <f t="shared" si="8"/>
        <v>5</v>
      </c>
      <c r="H128" s="68">
        <f t="shared" si="9"/>
        <v>1</v>
      </c>
    </row>
    <row r="129" spans="2:14" x14ac:dyDescent="0.3">
      <c r="B129" s="66" t="s">
        <v>194</v>
      </c>
      <c r="C129" s="66">
        <f>COUNTIFS($H$6:$H$116,"P4",$O$6:$O$116,"Completed")</f>
        <v>7</v>
      </c>
      <c r="D129" s="66">
        <f>COUNTIFS($H$6:$H$116,"P4",$O$6:$O$116,"In Progress")</f>
        <v>0</v>
      </c>
      <c r="E129" s="66">
        <f>COUNTIFS($H$6:$H$116,"P4",$O$6:$O$116,"Not Started")</f>
        <v>0</v>
      </c>
      <c r="F129" s="66">
        <f>COUNTIFS($H$6:$H$116,"P4",$O$6:$O$116,"Pending")</f>
        <v>0</v>
      </c>
      <c r="G129" s="67">
        <f t="shared" si="8"/>
        <v>7</v>
      </c>
      <c r="H129" s="68">
        <f t="shared" si="9"/>
        <v>1</v>
      </c>
    </row>
    <row r="130" spans="2:14" x14ac:dyDescent="0.3">
      <c r="B130" s="66" t="s">
        <v>215</v>
      </c>
      <c r="C130" s="66">
        <f>COUNTIFS($H$6:$H$116,"P5",$O$6:$O$116,"Completed")</f>
        <v>25</v>
      </c>
      <c r="D130" s="66">
        <f>COUNTIFS($H$6:$H$116,"P5",$O$6:$O$116,"In Progress")</f>
        <v>1</v>
      </c>
      <c r="E130" s="66">
        <f>COUNTIFS($H$6:$H$116,"P5",$O$6:$O$116,"Not Started")</f>
        <v>9</v>
      </c>
      <c r="F130" s="66">
        <f>COUNTIFS($H$6:$H$116,"P5",$O$6:$O$116,"Pending")</f>
        <v>1</v>
      </c>
      <c r="G130" s="67">
        <f t="shared" si="8"/>
        <v>36</v>
      </c>
      <c r="H130" s="68">
        <f t="shared" si="9"/>
        <v>0.69444444444444442</v>
      </c>
    </row>
    <row r="131" spans="2:14" x14ac:dyDescent="0.3">
      <c r="B131" s="67" t="s">
        <v>624</v>
      </c>
      <c r="C131" s="66">
        <f>COUNTIF($O$6:$O$116,"Completed")</f>
        <v>98</v>
      </c>
      <c r="D131" s="66">
        <f>COUNTIF($O$6:$O$116,"In Progress")</f>
        <v>3</v>
      </c>
      <c r="E131" s="66">
        <f>COUNTIF($O$6:$O$116,"Not Started")</f>
        <v>9</v>
      </c>
      <c r="F131" s="66">
        <f>COUNTIF($O$6:$O$116,"Pending")</f>
        <v>1</v>
      </c>
      <c r="G131" s="67">
        <f t="shared" si="8"/>
        <v>111</v>
      </c>
      <c r="H131" s="68">
        <f t="shared" si="9"/>
        <v>0.88288288288288286</v>
      </c>
    </row>
    <row r="133" spans="2:14" ht="30" customHeight="1" x14ac:dyDescent="0.3">
      <c r="B133" s="71" t="s">
        <v>625</v>
      </c>
      <c r="C133" s="72"/>
      <c r="D133" s="72"/>
      <c r="E133" s="72"/>
      <c r="F133" s="72"/>
      <c r="G133" s="72"/>
      <c r="H133" s="72"/>
      <c r="I133" s="72"/>
      <c r="J133" s="72"/>
      <c r="K133" s="72"/>
      <c r="L133" s="72"/>
      <c r="M133" s="72"/>
      <c r="N133" s="72"/>
    </row>
  </sheetData>
  <autoFilter ref="B5:P116" xr:uid="{00000000-0009-0000-0000-000003000000}"/>
  <mergeCells count="7">
    <mergeCell ref="B133:N133"/>
    <mergeCell ref="B121:N121"/>
    <mergeCell ref="B2:I2"/>
    <mergeCell ref="B120:N120"/>
    <mergeCell ref="B118:N118"/>
    <mergeCell ref="B3:D3"/>
    <mergeCell ref="B119:N119"/>
  </mergeCells>
  <conditionalFormatting sqref="O6:O116">
    <cfRule type="cellIs" dxfId="3" priority="1" operator="equal">
      <formula>"Completed"</formula>
    </cfRule>
    <cfRule type="cellIs" dxfId="2" priority="2" operator="equal">
      <formula>"In Progress"</formula>
    </cfRule>
    <cfRule type="cellIs" dxfId="1" priority="3" operator="equal">
      <formula>"Not Started"</formula>
    </cfRule>
    <cfRule type="cellIs" dxfId="0" priority="4" operator="equal">
      <formula>"Pending"</formula>
    </cfRule>
  </conditionalFormatting>
  <dataValidations count="1">
    <dataValidation type="list" allowBlank="1" errorTitle="Status" error="Choose Completed, In Progress, Not Started or Pending." sqref="O6:O116" xr:uid="{00000000-0002-0000-0300-000000000000}">
      <formula1>"Completed,In Progress,Not Started,Pending"</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14"/>
  <sheetViews>
    <sheetView showGridLines="0" workbookViewId="0">
      <selection activeCell="B2" sqref="B2:C14"/>
    </sheetView>
  </sheetViews>
  <sheetFormatPr defaultRowHeight="14.4" x14ac:dyDescent="0.3"/>
  <cols>
    <col min="2" max="2" width="28" customWidth="1"/>
    <col min="3" max="3" width="73.109375" customWidth="1"/>
  </cols>
  <sheetData>
    <row r="2" spans="2:3" x14ac:dyDescent="0.3">
      <c r="B2" s="39" t="s">
        <v>626</v>
      </c>
      <c r="C2" s="39" t="s">
        <v>627</v>
      </c>
    </row>
    <row r="3" spans="2:3" x14ac:dyDescent="0.3">
      <c r="B3" s="40" t="s">
        <v>628</v>
      </c>
      <c r="C3" s="40"/>
    </row>
    <row r="4" spans="2:3" x14ac:dyDescent="0.3">
      <c r="B4" s="40" t="s">
        <v>629</v>
      </c>
      <c r="C4" s="40"/>
    </row>
    <row r="5" spans="2:3" x14ac:dyDescent="0.3">
      <c r="B5" s="40" t="s">
        <v>630</v>
      </c>
      <c r="C5" s="40"/>
    </row>
    <row r="6" spans="2:3" x14ac:dyDescent="0.3">
      <c r="B6" s="40" t="s">
        <v>631</v>
      </c>
      <c r="C6" s="40"/>
    </row>
    <row r="7" spans="2:3" x14ac:dyDescent="0.3">
      <c r="B7" s="40" t="s">
        <v>632</v>
      </c>
      <c r="C7" s="40"/>
    </row>
    <row r="8" spans="2:3" x14ac:dyDescent="0.3">
      <c r="B8" s="40" t="s">
        <v>633</v>
      </c>
      <c r="C8" s="40"/>
    </row>
    <row r="9" spans="2:3" x14ac:dyDescent="0.3">
      <c r="B9" s="40" t="s">
        <v>634</v>
      </c>
      <c r="C9" s="40" t="s">
        <v>635</v>
      </c>
    </row>
    <row r="10" spans="2:3" x14ac:dyDescent="0.3">
      <c r="B10" s="40" t="s">
        <v>636</v>
      </c>
      <c r="C10" s="40"/>
    </row>
    <row r="11" spans="2:3" x14ac:dyDescent="0.3">
      <c r="B11" s="40" t="s">
        <v>637</v>
      </c>
      <c r="C11" s="40"/>
    </row>
    <row r="12" spans="2:3" x14ac:dyDescent="0.3">
      <c r="B12" s="40" t="s">
        <v>638</v>
      </c>
      <c r="C12" s="40"/>
    </row>
    <row r="13" spans="2:3" x14ac:dyDescent="0.3">
      <c r="B13" s="40" t="s">
        <v>311</v>
      </c>
      <c r="C13" s="40"/>
    </row>
    <row r="14" spans="2:3" x14ac:dyDescent="0.3">
      <c r="B14" s="40" t="s">
        <v>639</v>
      </c>
      <c r="C14" s="4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Queue Flow</vt:lpstr>
      <vt:lpstr>Clarifications</vt:lpstr>
      <vt:lpstr>Plan</vt:lpstr>
      <vt:lpstr>Plan - Corrected Order</vt:lpstr>
      <vt:lpstr>Statuses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 R</dc:creator>
  <cp:lastModifiedBy>Jameel Abdul</cp:lastModifiedBy>
  <dcterms:created xsi:type="dcterms:W3CDTF">2026-09-25T16:31:57Z</dcterms:created>
  <dcterms:modified xsi:type="dcterms:W3CDTF">2026-10-21T06:26:22Z</dcterms:modified>
</cp:coreProperties>
</file>