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art A Test Cases" sheetId="2" state="visible" r:id="rId4"/>
    <sheet name="Part B FR Traceability" sheetId="3" state="visible" r:id="rId5"/>
    <sheet name="Part C Mockup Rules" sheetId="4" state="visible" r:id="rId6"/>
    <sheet name="Part E NFR" sheetId="5" state="visible" r:id="rId7"/>
    <sheet name="Role Workflow Retest" sheetId="6" state="visible" r:id="rId8"/>
    <sheet name="Defect Log" sheetId="7" state="visible" r:id="rId9"/>
    <sheet name="Observations" sheetId="8" state="visible" r:id="rId10"/>
    <sheet name="Mockup Comparison" sheetId="9" state="visible" r:id="rId11"/>
    <sheet name="Queue Reconciliation" sheetId="10" state="visible" r:id="rId12"/>
  </sheets>
  <definedNames>
    <definedName function="false" hidden="true" localSheetId="6" name="_xlnm._FilterDatabase" vbProcedure="false">'Defect Log'!$A$1:$H$32</definedName>
    <definedName function="false" hidden="true" localSheetId="8" name="_xlnm._FilterDatabase" vbProcedure="false">'Mockup Comparison'!$A$1:$E$16</definedName>
    <definedName function="false" hidden="true" localSheetId="7" name="_xlnm._FilterDatabase" vbProcedure="false">Observations!$A$1:$D$25</definedName>
    <definedName function="false" hidden="true" localSheetId="1" name="_xlnm._FilterDatabase" vbProcedure="false">'Part A Test Cases'!$A$1:$L$69</definedName>
    <definedName function="false" hidden="true" localSheetId="2" name="_xlnm._FilterDatabase" vbProcedure="false">'Part B FR Traceability'!$A$1:$F$137</definedName>
    <definedName function="false" hidden="true" localSheetId="3" name="_xlnm._FilterDatabase" vbProcedure="false">'Part C Mockup Rules'!$A$1:$E$23</definedName>
    <definedName function="false" hidden="true" localSheetId="4" name="_xlnm._FilterDatabase" vbProcedure="false">'Part E NFR'!$A$1:$D$10</definedName>
    <definedName function="false" hidden="true" localSheetId="5" name="_xlnm._FilterDatabase" vbProcedure="false">'Role Workflow Retest'!$A$1:$J$32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<sst xmlns="http://schemas.openxmlformats.org/spreadsheetml/2006/main" count="2483" uniqueCount="1542">
  <si>
    <t xml:space="preserve">AR Workbench – Requirements Retest Report (Handoff v1.1)</t>
  </si>
  <si>
    <t xml:space="preserve">Requirement source</t>
  </si>
  <si>
    <t xml:space="preserve">AR_Workbench_Developer_Handoff_Requirements_v1.1.docx — Part A (session decisions), Part B (FR-xx), Part C (mockup rules), Part E (NFR)</t>
  </si>
  <si>
    <t xml:space="preserve">Application</t>
  </si>
  <si>
    <t xml:space="preserve">https://www.lrnanalytics.com/ARWBTest/ (Test) – build index-CUr4SgQD.js – lab Inhealth_DTR</t>
  </si>
  <si>
    <t xml:space="preserve">Data</t>
  </si>
  <si>
    <t xml:space="preserve">Master file load 18 Oct 2026 (sync 9:01 PM) – 84,494 claims / 151,984 CPT lines</t>
  </si>
  <si>
    <t xml:space="preserve">Retest date</t>
  </si>
  <si>
    <t xml:space="preserve">19 Oct 2026 (baseline run 15 Oct 2026)</t>
  </si>
  <si>
    <t xml:space="preserve">Roles tested</t>
  </si>
  <si>
    <t xml:space="preserve">System Administrator, AR Agent (ARAgent1), QA Reviewer (QA1), Team Lead, RCM Manager, Clinic Viewer (Insight Family Practice), Client Viewer (AccountManager)</t>
  </si>
  <si>
    <t xml:space="preserve">Method</t>
  </si>
  <si>
    <t xml:space="preserve">API reconciliation of all claims + UI walkthrough + end-to-end role workflows on 10 fresh test claims (user-approved changes to Test data)</t>
  </si>
  <si>
    <t xml:space="preserve">Status</t>
  </si>
  <si>
    <t xml:space="preserve">Part A Test Cases</t>
  </si>
  <si>
    <t xml:space="preserve">Part B FR Traceability</t>
  </si>
  <si>
    <t xml:space="preserve">Part C Mockup Rules</t>
  </si>
  <si>
    <t xml:space="preserve">Part E NFR</t>
  </si>
  <si>
    <t xml:space="preserve">Role Workflow Retest</t>
  </si>
  <si>
    <t xml:space="preserve">Total</t>
  </si>
  <si>
    <t xml:space="preserve">Pass</t>
  </si>
  <si>
    <t xml:space="preserve">Fail</t>
  </si>
  <si>
    <t xml:space="preserve">Partial</t>
  </si>
  <si>
    <t xml:space="preserve">Blocked</t>
  </si>
  <si>
    <t xml:space="preserve">Not Executed</t>
  </si>
  <si>
    <t xml:space="preserve">Not Retested</t>
  </si>
  <si>
    <t xml:space="preserve">N/A (Phase 2)</t>
  </si>
  <si>
    <t xml:space="preserve">N/A (Open item)</t>
  </si>
  <si>
    <t xml:space="preserve">N/A</t>
  </si>
  <si>
    <t xml:space="preserve">Pass rate (of executed)</t>
  </si>
  <si>
    <t xml:space="preserve">Executed = Pass + Fail + Partial</t>
  </si>
  <si>
    <t xml:space="preserve">Part A trend (68 cases)</t>
  </si>
  <si>
    <t xml:space="preserve">15 Oct</t>
  </si>
  <si>
    <t xml:space="preserve">19 Oct</t>
  </si>
  <si>
    <t xml:space="preserve">Change</t>
  </si>
  <si>
    <t xml:space="preserve">Defect retest</t>
  </si>
  <si>
    <t xml:space="preserve">Retest status</t>
  </si>
  <si>
    <t xml:space="preserve">Count</t>
  </si>
  <si>
    <t xml:space="preserve">Fixed</t>
  </si>
  <si>
    <t xml:space="preserve">Partially fixed</t>
  </si>
  <si>
    <t xml:space="preserve">Open</t>
  </si>
  <si>
    <t xml:space="preserve">New</t>
  </si>
  <si>
    <t xml:space="preserve">Withdrawn</t>
  </si>
  <si>
    <t xml:space="preserve">Key findings</t>
  </si>
  <si>
    <t xml:space="preserve">1. All 20 defects from 15 Oct are fixed, incl. the Critical client internal-note leak (DEF-15), QA data exposure (DEF-16), agent write-off posting (DEF-17), Clinic Viewer CIP response (DEF-18), Document Vault &amp; categorised follow-up attachments (DEF-13/14) and Manager NC-list access (DEF-08). DEF-20 (auto-adjust balance) is fixed in the UI and DEF-07 confirmed (284 claims classify correctly; 284 only missing from the Denial Code Master — OBS-28).</t>
  </si>
  <si>
    <t xml:space="preserve">2. Financial fields now work: Revenue Expectation populated for 84,481 claims and Potential Recovery formula correct on 141/141 sampled claims; Recovered Amount is payments-only.</t>
  </si>
  <si>
    <t xml:space="preserve">3. Weekly re-sync rules verified on real syncs: unposted adjustments / write-offs flagged and returned to Auto Adjustments with agent and manager notifications; claims closing on sync are closed and audited.</t>
  </si>
  <si>
    <t xml:space="preserve">4. New defects (v1.1 scope): Recovery Status wrong for Patient AR claims (DEF-22); Control Plan / SLA dashboard widgets, Work Queue 'More filters', client line-item export not built (DEF-23/24/29); plus 6 Low items. DEF-21 (Revenue Expectation line inclusion) withdrawn — RSKP confirmed RE covers collectible Denied / No Response lines only.</t>
  </si>
  <si>
    <t xml:space="preserve">5. End-to-end role workflows pass for all 7 roles (31 steps: 28 Pass, 3 Partial, 0 Fail).</t>
  </si>
  <si>
    <t xml:space="preserve">6. Still not executable: New-Denials re-sync path, 45-day re-follow-up (first eligible 21 Nov), RARC handling (no data), and infra/HIPAA controls.</t>
  </si>
  <si>
    <t xml:space="preserve">Test Case ID</t>
  </si>
  <si>
    <t xml:space="preserve">Module</t>
  </si>
  <si>
    <t xml:space="preserve">Requirement Ref</t>
  </si>
  <si>
    <t xml:space="preserve">Priority</t>
  </si>
  <si>
    <t xml:space="preserve">Test Scenario</t>
  </si>
  <si>
    <t xml:space="preserve">Test Data / Pre-conditions</t>
  </si>
  <si>
    <t xml:space="preserve">Test Steps</t>
  </si>
  <si>
    <t xml:space="preserve">Expected Result</t>
  </si>
  <si>
    <t xml:space="preserve">Actual Result (19 Oct retest)</t>
  </si>
  <si>
    <t xml:space="preserve">Status (19 Oct)</t>
  </si>
  <si>
    <t xml:space="preserve">Status (15 Oct)</t>
  </si>
  <si>
    <t xml:space="preserve">Defect / Obs Ref</t>
  </si>
  <si>
    <t xml:space="preserve">TC-001</t>
  </si>
  <si>
    <t xml:space="preserve">Data Sync &amp; Grain</t>
  </si>
  <si>
    <t xml:space="preserve">§2.1 / Feature #1</t>
  </si>
  <si>
    <t xml:space="preserve">High</t>
  </si>
  <si>
    <t xml:space="preserve">Full claim-level master file is synced for the lab</t>
  </si>
  <si>
    <t xml:space="preserve">Lab Inhealth_DTR; Data Processing run #3 (R20261005INH3267 ... 09.22–09.28.2026.csv)</t>
  </si>
  <si>
    <t xml:space="preserve">1. Open Data Processing.
2. Review Run history and source counters.
3. Reconcile claim count to queue totals via API.</t>
  </si>
  <si>
    <t xml:space="preserve">Every claim in the claim-level master file is loaded (not only insight-linked claims); line-level file also read.</t>
  </si>
  <si>
    <t xml:space="preserve">Master File Load from SharePoint + Data Processing present. Latest load 18 Oct 2026 3:59 PM, synced 9:01 PM; 84,494 claims / 151,984 CPT lines; 'Master File Loaded' now populated.</t>
  </si>
  <si>
    <t xml:space="preserve">TC-002</t>
  </si>
  <si>
    <t xml:space="preserve">§2.1</t>
  </si>
  <si>
    <t xml:space="preserve">Medium</t>
  </si>
  <si>
    <t xml:space="preserve">Sync cadence is weekly and aligned with master refresh</t>
  </si>
  <si>
    <t xml:space="preserve">Run history; Nightly Queue Snapshots</t>
  </si>
  <si>
    <t xml:space="preserve">1. Review run history dates.
2. Review nightly snapshot table.</t>
  </si>
  <si>
    <t xml:space="preserve">Weekly sync runs recorded; nightly recalculation of aging / TFL / re-follow-up.</t>
  </si>
  <si>
    <t xml:space="preserve">Weekly loads with run log; nightly queue snapshots through 19 Oct 2026.</t>
  </si>
  <si>
    <t xml:space="preserve">TC-003</t>
  </si>
  <si>
    <t xml:space="preserve">§2.1, §3</t>
  </si>
  <si>
    <t xml:space="preserve">Every list, queue and count is at claim grain; each claim sits in exactly one financial queue</t>
  </si>
  <si>
    <t xml:space="preserve">All 84,074 claims pulled via claims API (read-only)</t>
  </si>
  <si>
    <t xml:space="preserve">1. Pull all claims.
2. Check unique claim keys.
3. Sum queue/sub-queue counts.</t>
  </si>
  <si>
    <t xml:space="preserve">Unique claim count = total; each claim in exactly one queue.</t>
  </si>
  <si>
    <t xml:space="preserve">84,494 claims pulled; 84,494 unique keys; queue counts sum to total.</t>
  </si>
  <si>
    <t xml:space="preserve">TC-004</t>
  </si>
  <si>
    <t xml:space="preserve">Denial Insights</t>
  </si>
  <si>
    <t xml:space="preserve">§2.2</t>
  </si>
  <si>
    <t xml:space="preserve">Dashboard 'Latest Denial Analysis Report insights' shows the CURRENT week's insights</t>
  </si>
  <si>
    <t xml:space="preserve">Current week (Oct 14, 2026) has 1 uploaded Key Observation (CO-216)</t>
  </si>
  <si>
    <t xml:space="preserve">1. Open Dashboard.
2. Compare insight list with Data Processing &gt; Current week.</t>
  </si>
  <si>
    <t xml:space="preserve">Dashboard shows the same current-week insights as Data Processing, with description populated.</t>
  </si>
  <si>
    <t xml:space="preserve">Dashboard now shows the current week's uploaded Key Observations (week of 14 Oct) with description 'BASED ON THE FINDINGS OF A REVIEW ORGANIZATION'.</t>
  </si>
  <si>
    <t xml:space="preserve">DEF-01, DEF-02 fixed</t>
  </si>
  <si>
    <t xml:space="preserve">TC-005</t>
  </si>
  <si>
    <t xml:space="preserve">Data Processing shows current + previous week insights, unresolved items only</t>
  </si>
  <si>
    <t xml:space="preserve">Data Processing &gt; Denial Analysis Report</t>
  </si>
  <si>
    <t xml:space="preserve">1. Open Current week tab.
2. Open Previous week tab.
3. Check 'still open' counts.</t>
  </si>
  <si>
    <t xml:space="preserve">Two tabs (current &amp; previous); counts reflect only unresolved / unassigned items.</t>
  </si>
  <si>
    <t xml:space="preserve">Current week (14 Oct) and Previous week (05 Oct) tabs; counts are open + unassigned.</t>
  </si>
  <si>
    <t xml:space="preserve">TC-006</t>
  </si>
  <si>
    <t xml:space="preserve">Clicking an insight routes to the filtered claim set in the Work Queue for bulk assignment</t>
  </si>
  <si>
    <t xml:space="preserve">Insight CO-216 (Still open 1,699)</t>
  </si>
  <si>
    <t xml:space="preserve">1. Data Processing &gt; Current week.
2. Click 'Route to Work Queue' on CO-216.</t>
  </si>
  <si>
    <t xml:space="preserve">Work Queue opens filtered to the insight's unassigned open claims; count equals insight's open count.</t>
  </si>
  <si>
    <t xml:space="preserve">Not re-run (unchanged route). 15-Oct result: filter chip CO-216 + Unassigned + Open; 1,700 vs 1,699.</t>
  </si>
  <si>
    <t xml:space="preserve">OBS-02</t>
  </si>
  <si>
    <t xml:space="preserve">TC-007</t>
  </si>
  <si>
    <t xml:space="preserve">Insight counts cover all payers; Highest-impact payer is informational only</t>
  </si>
  <si>
    <t xml:space="preserve">Insight CO-216</t>
  </si>
  <si>
    <t xml:space="preserve">1. Compare # of denials vs. Ins. # of denials for top payer.</t>
  </si>
  <si>
    <t xml:space="preserve">Count and balance cover all payers; top payer is not used as a filter.</t>
  </si>
  <si>
    <t xml:space="preserve">Not re-run. 15-Oct: counts across all payers; top payer informational.</t>
  </si>
  <si>
    <t xml:space="preserve">TC-008</t>
  </si>
  <si>
    <t xml:space="preserve">§2.2, AT-7, Feature #3</t>
  </si>
  <si>
    <t xml:space="preserve">Assigned claims are deducted from insight outstanding count/balance</t>
  </si>
  <si>
    <t xml:space="preserve">CO-216: 2,051 total; 10 already assigned</t>
  </si>
  <si>
    <t xml:space="preserve">1. Read insight 'Still open'.
2. Independently recompute open, unassigned claims with primary denial 216.</t>
  </si>
  <si>
    <t xml:space="preserve">Insight shows only the unassigned remainder.</t>
  </si>
  <si>
    <t xml:space="preserve">Insight 216 'still open' 2,219 / $773,349.77 = independent recompute of open, unassigned claims with primary 216 (2,219 / $773,349.77). Note: 'Still Open' (2,219) exceeds the uploaded '# of Denials' (2,051) — see OBS-25.</t>
  </si>
  <si>
    <t xml:space="preserve">OBS-25</t>
  </si>
  <si>
    <t xml:space="preserve">TC-009</t>
  </si>
  <si>
    <t xml:space="preserve">Claim Detail</t>
  </si>
  <si>
    <t xml:space="preserve">§2.3</t>
  </si>
  <si>
    <t xml:space="preserve">Denial Info shows the claim's primary denial (code, description, category, classification)</t>
  </si>
  <si>
    <t xml:space="preserve">Claim 19448764 (curated denial 'CO11, CO252')</t>
  </si>
  <si>
    <t xml:space="preserve">1. Open claim.
2. Open Denial Info tab.</t>
  </si>
  <si>
    <t xml:space="preserve">Primary code, description, category and classification populated.</t>
  </si>
  <si>
    <t xml:space="preserve">Claim 19448764 Denial Info: Primary 11 (as received CO11), Reason 'Diagnosis inconsistent with procedure', All Denial Codes '11, 252', Line-Level Codes listed separately.</t>
  </si>
  <si>
    <t xml:space="preserve">DEF-03 fixed</t>
  </si>
  <si>
    <t xml:space="preserve">TC-010</t>
  </si>
  <si>
    <t xml:space="preserve">§2.3, Feature #4</t>
  </si>
  <si>
    <t xml:space="preserve">CPT Line-Level Detail has an expand control per CPT showing line-level denial code (prefix retained), description, classification</t>
  </si>
  <si>
    <t xml:space="preserve">Claim 19448764 (7 CPT lines)</t>
  </si>
  <si>
    <t xml:space="preserve">1. Open CPT / Line Detail tab.
2. Look for expand control on each CPT.</t>
  </si>
  <si>
    <t xml:space="preserve">Each CPT row expandable; reveals line denial code with original prefix, description and classification.</t>
  </si>
  <si>
    <t xml:space="preserve">Per-CPT expand control ('Expand denials for CPT 87481'); expanded row shows CO11 · date · description · category; prefix retained for display.</t>
  </si>
  <si>
    <t xml:space="preserve">DEF-04 fixed</t>
  </si>
  <si>
    <t xml:space="preserve">TC-011</t>
  </si>
  <si>
    <t xml:space="preserve">Line-level data does not drive queue placement</t>
  </si>
  <si>
    <t xml:space="preserve">Claim 19448764: lines Denied CO11/CO252 + 5 Partially Adjusted lines</t>
  </si>
  <si>
    <t xml:space="preserve">1. Compare line statuses with claim AR Queue.</t>
  </si>
  <si>
    <t xml:space="preserve">Queue derived from claim-level primary denial only.</t>
  </si>
  <si>
    <t xml:space="preserve">Queue still from claim-level primary (19448764 Denied · Possible Collectible).</t>
  </si>
  <si>
    <t xml:space="preserve">TC-012</t>
  </si>
  <si>
    <t xml:space="preserve">AR Queue Logic</t>
  </si>
  <si>
    <t xml:space="preserve">§3.1, AT-1</t>
  </si>
  <si>
    <t xml:space="preserve">Closed – Fully Paid: Ins Bal = 0 and Pt Bal = 0; not fed to work queue</t>
  </si>
  <si>
    <t xml:space="preserve">All claims (API)</t>
  </si>
  <si>
    <t xml:space="preserve">1. Check every Closed claim balance.
2. Check no zero-balance claim sits outside Closed.
3. Check queue is non-priority.</t>
  </si>
  <si>
    <t xml:space="preserve">All Closed – Fully Paid claims have zero balances; not in active work-queue feed.</t>
  </si>
  <si>
    <t xml:space="preserve">43,003 Closed – Fully Paid, all zero balance; 0 closed with balance. 7 zero-balance claims sit in Status Change Verification pending manager review.</t>
  </si>
  <si>
    <t xml:space="preserve">OBS-20</t>
  </si>
  <si>
    <t xml:space="preserve">TC-013</t>
  </si>
  <si>
    <t xml:space="preserve">§3.1</t>
  </si>
  <si>
    <t xml:space="preserve">Closed – Fully Adjusted: fully adjusted, no balance</t>
  </si>
  <si>
    <t xml:space="preserve">1. Check balances of Closed – Fully Adjusted claims.</t>
  </si>
  <si>
    <t xml:space="preserve">Zero insurance and patient balance.</t>
  </si>
  <si>
    <t xml:space="preserve">21,408 Closed – Fully Adjusted, all zero balance.</t>
  </si>
  <si>
    <t xml:space="preserve">TC-014</t>
  </si>
  <si>
    <t xml:space="preserve">§3.1, AT-2</t>
  </si>
  <si>
    <t xml:space="preserve">Non-Responder: Ins Bal &gt; 0, no payment/denial/adjustment; auto-fed to work queue</t>
  </si>
  <si>
    <t xml:space="preserve">1. Check Non-Responder claims for denial codes and balance.
2. Check priority flag.</t>
  </si>
  <si>
    <t xml:space="preserve">All have Ins Bal &gt; 0 and no denial; queue is auto-fed.</t>
  </si>
  <si>
    <t xml:space="preserve">1,715 Non-Responder; 0 with denial; all Ins Bal &gt; 0.</t>
  </si>
  <si>
    <t xml:space="preserve">TC-015</t>
  </si>
  <si>
    <t xml:space="preserve">§3.1, §4.1</t>
  </si>
  <si>
    <t xml:space="preserve">Denied – Possible Collectible: Ins Bal &gt; 0, primary denial NOT on NC List</t>
  </si>
  <si>
    <t xml:space="preserve">NC List = 197, 242, 257, 288, 27, 31</t>
  </si>
  <si>
    <t xml:space="preserve">1. For each Denied PC claim, strip prefix from primary code and test against NC List.</t>
  </si>
  <si>
    <t xml:space="preserve">No Denied PC claim has an NC primary code.</t>
  </si>
  <si>
    <t xml:space="preserve">5,245 Denied PC; 0 with NC primary code.</t>
  </si>
  <si>
    <t xml:space="preserve">TC-016</t>
  </si>
  <si>
    <t xml:space="preserve">§3.1, §3.2, AT-3</t>
  </si>
  <si>
    <t xml:space="preserve">Denied – Non-Collectible: primary on NC List; visible only to Admin/Mgr/TL</t>
  </si>
  <si>
    <t xml:space="preserve">Primary 197 / 27 / 31 etc.</t>
  </si>
  <si>
    <t xml:space="preserve">1. Verify placement via API.
2. Verify visibility as AR Agent / QA.</t>
  </si>
  <si>
    <t xml:space="preserve">Placed in Denied – Non-Collectible; hidden from Agent/QA.</t>
  </si>
  <si>
    <t xml:space="preserve">249 Denied NC (all NC primary). Visibility: ARAgent1 0, QA1 0, TeamLead 248, Admin 249.</t>
  </si>
  <si>
    <t xml:space="preserve">DEF-16 fixed</t>
  </si>
  <si>
    <t xml:space="preserve">TC-017</t>
  </si>
  <si>
    <t xml:space="preserve">Partially Paid – Possible Collectible / Non-Collectible split uses the same NC List</t>
  </si>
  <si>
    <t xml:space="preserve">1. Check NC flag vs sub-queue.</t>
  </si>
  <si>
    <t xml:space="preserve">PC: primary not on NC List; NC: primary on NC List.</t>
  </si>
  <si>
    <t xml:space="preserve">268 PP-PC / 2 PP-NC consistent with NC list.</t>
  </si>
  <si>
    <t xml:space="preserve">TC-018</t>
  </si>
  <si>
    <t xml:space="preserve">Partially Adjusted: no denial, some CPTs adjusted, Ins Bal &gt; 0</t>
  </si>
  <si>
    <t xml:space="preserve">1. Check denial code and balance on Partially Adjusted claims.</t>
  </si>
  <si>
    <t xml:space="preserve">No denial; Ins Bal &gt; 0; auto-fed.</t>
  </si>
  <si>
    <t xml:space="preserve">53 Partially Adjusted; 0 with denial.</t>
  </si>
  <si>
    <t xml:space="preserve">TC-019</t>
  </si>
  <si>
    <t xml:space="preserve">§3.1, AT-6</t>
  </si>
  <si>
    <t xml:space="preserve">Patient AR: Pt Bal &gt; 0 and Ins Bal = 0; denials ignored</t>
  </si>
  <si>
    <t xml:space="preserve">1. Check all Patient AR claims.
2. Check no Pt-only-balance claim outside Patient AR.</t>
  </si>
  <si>
    <t xml:space="preserve">All Patient AR claims meet rule; none misplaced, even when a denial is present.</t>
  </si>
  <si>
    <t xml:space="preserve">11,561 Patient AR all Pt Bal &gt; 0 &amp; Ins Bal = 0; 7 Pt-only claims held in Status Change Verification.</t>
  </si>
  <si>
    <t xml:space="preserve">TC-020</t>
  </si>
  <si>
    <t xml:space="preserve">§3.1, Features #7, #8</t>
  </si>
  <si>
    <t xml:space="preserve">Workflow queues exist: CIP Pending, CIP Response Received, Re-Follow-Up (Unresolved / New Denials), Submitted for QA, QA Rejected, Completed, Auto Adjustments</t>
  </si>
  <si>
    <t xml:space="preserve">Queue taxonomy (queues API)</t>
  </si>
  <si>
    <t xml:space="preserve">1. Review queue list.</t>
  </si>
  <si>
    <t xml:space="preserve">All workflow queues and sub-queues defined.</t>
  </si>
  <si>
    <t xml:space="preserve">All workflow queues present incl. Re-Follow-Up (Unresolved / New Denials), Auto Adjustments (System / Approved Write-Offs), Status Change Verification; Unbilled (841) still extra.</t>
  </si>
  <si>
    <t xml:space="preserve">OBS-06</t>
  </si>
  <si>
    <t xml:space="preserve">TC-021</t>
  </si>
  <si>
    <t xml:space="preserve">§3.2</t>
  </si>
  <si>
    <t xml:space="preserve">Only unresolved claims in the 4 Possible Collectible queues auto-flow into the Work Queue for assignment</t>
  </si>
  <si>
    <t xml:space="preserve">Nav badge 'Denial &amp; AR Work Queue' = 9,054; Dashboard 'Claims Awaiting Assignment' = 83,986</t>
  </si>
  <si>
    <t xml:space="preserve">1. Reconcile unassigned counts by queue.
2. Compare with badge and dashboard KPI.</t>
  </si>
  <si>
    <t xml:space="preserve">Awaiting-assignment count = unassigned claims in Non-Responder, Denied PC, Partially Paid PC, Partially Adjusted only (7,193).</t>
  </si>
  <si>
    <t xml:space="preserve">Work Queue badge 7,218 = unassigned Denied PC 5,199 + PP PC 256 + Partially Adjusted 53 + Non-Responder 1,710. Dashboard 'Claims Awaiting Assignment' = 7,218.</t>
  </si>
  <si>
    <t xml:space="preserve">DEF-05, DEF-06 fixed</t>
  </si>
  <si>
    <t xml:space="preserve">TC-022</t>
  </si>
  <si>
    <t xml:space="preserve">Configuration</t>
  </si>
  <si>
    <t xml:space="preserve">§3.2, Feature #2</t>
  </si>
  <si>
    <t xml:space="preserve">Non-Collectible list maintained in settings and drives the Denied &amp; Partially Paid splits</t>
  </si>
  <si>
    <t xml:space="preserve">Master Values &gt; Workbench Lists &gt; Non-Collectible Denial Codes</t>
  </si>
  <si>
    <t xml:space="preserve">1. Open list.
2. Compare with Denial Code Master 'Non-Collectible' flags.</t>
  </si>
  <si>
    <t xml:space="preserve">Single configurable NC list, stored without prefix, used by the queue engine.</t>
  </si>
  <si>
    <t xml:space="preserve">Workbench NC list (197, 242, 29, 119, 193, 204, 243, 279, 284) drives the queues correctly. Validated 20 Oct for code 284: all 24 claims with primary denial 284 are in Denied – Non-Collectible with isNonCollectible = true, e.g., 19460085 (CO284, $437.46) and 19385515 (CO284, $313.18). Denial Code Master flags the same NC set; 284 is not in the Denial Code Master at all (no row), so it has no master description / NC flag there.</t>
  </si>
  <si>
    <t xml:space="preserve">DEF-07 fixed; OBS-28</t>
  </si>
  <si>
    <t xml:space="preserve">TC-023</t>
  </si>
  <si>
    <t xml:space="preserve">Roles &amp; Access</t>
  </si>
  <si>
    <t xml:space="preserve">§10 (Maintain NC &amp; Auto-Adjust lists)</t>
  </si>
  <si>
    <t xml:space="preserve">AR/RCM Manager can maintain NC and Auto-Adjust lists</t>
  </si>
  <si>
    <t xml:space="preserve">App navigation role config</t>
  </si>
  <si>
    <t xml:space="preserve">1. Inspect role access for Master Values.</t>
  </si>
  <si>
    <t xml:space="preserve">Sys Admin and AR/RCM Manager can maintain.</t>
  </si>
  <si>
    <t xml:space="preserve">RCMManager: Master Values › Workbench Lists (NC + Auto-Adjust only) with Add/Deactivate; masters API 200.</t>
  </si>
  <si>
    <t xml:space="preserve">DEF-08 fixed</t>
  </si>
  <si>
    <t xml:space="preserve">TC-024</t>
  </si>
  <si>
    <t xml:space="preserve">§3.2, AT-3</t>
  </si>
  <si>
    <t xml:space="preserve">Restricted (overall AR) queues visible only to Admin / Mgr / TL; they can pull any claim for special projects</t>
  </si>
  <si>
    <t xml:space="preserve">Admin session</t>
  </si>
  <si>
    <t xml:space="preserve">1. As Admin, view all queues and assign.
2. As Agent/QA, confirm restricted queues hidden.</t>
  </si>
  <si>
    <t xml:space="preserve">Admin/Mgr/TL see and assign from any queue; Agent/QA cannot see Closed / NC queues.</t>
  </si>
  <si>
    <t xml:space="preserve">Admin/Mgr/TL see all queues (TL: NC 248, Closed-Paid 43,003). Agent limited to own 23 claims. QA API limited to 7,416 open priority claims, NC = 0.</t>
  </si>
  <si>
    <t xml:space="preserve">TC-025</t>
  </si>
  <si>
    <t xml:space="preserve">QA Rejected claims auto-assigned to the agent who worked them</t>
  </si>
  <si>
    <t xml:space="preserve">Claim 19091270</t>
  </si>
  <si>
    <t xml:space="preserve">1. Open claim timeline and assignment fields.</t>
  </si>
  <si>
    <t xml:space="preserve">Rejected claim assigned back to the submitting agent.</t>
  </si>
  <si>
    <t xml:space="preserve">19510576 rejected by QA1 → QA Rejected, assigned to ARAgent1.</t>
  </si>
  <si>
    <t xml:space="preserve">TC-026</t>
  </si>
  <si>
    <t xml:space="preserve">§3.2 (To confirm)</t>
  </si>
  <si>
    <t xml:space="preserve">Low</t>
  </si>
  <si>
    <t xml:space="preserve">Evaluation precedence when a claim meets more than one rule</t>
  </si>
  <si>
    <t xml:space="preserve">All claims</t>
  </si>
  <si>
    <t xml:space="preserve">1. Check for claims meeting multiple rules.</t>
  </si>
  <si>
    <t xml:space="preserve">Deterministic precedence (recommended Closed → Patient AR → Denied → Partially Paid → Partially Adjusted → Non-Responder).</t>
  </si>
  <si>
    <t xml:space="preserve">No claim in more than one queue; precedence consistent with §18.3.</t>
  </si>
  <si>
    <t xml:space="preserve">TC-027</t>
  </si>
  <si>
    <t xml:space="preserve">Denial Logic</t>
  </si>
  <si>
    <t xml:space="preserve">§4.1</t>
  </si>
  <si>
    <t xml:space="preserve">Primary denial = curated 'Denial Code' column (interim)</t>
  </si>
  <si>
    <t xml:space="preserve">Settings API</t>
  </si>
  <si>
    <t xml:space="preserve">1. Read settings PrimaryDenialSource / FallbackToLine.</t>
  </si>
  <si>
    <t xml:space="preserve">Curated column used; no line-level fallback.</t>
  </si>
  <si>
    <t xml:space="preserve">PrimaryDenialSource = CuratedColumn; FallbackToLine = 0.</t>
  </si>
  <si>
    <t xml:space="preserve">TC-028</t>
  </si>
  <si>
    <t xml:space="preserve">§4.1, Feature #15</t>
  </si>
  <si>
    <t xml:space="preserve">Denial-hierarchy ranking table to derive primary denial (terminal codes override)</t>
  </si>
  <si>
    <t xml:space="preserve">—</t>
  </si>
  <si>
    <t xml:space="preserve">Configurable ranking table; e.g., 204/197 override other codes.</t>
  </si>
  <si>
    <t xml:space="preserve">Phase 2 – not tested.</t>
  </si>
  <si>
    <t xml:space="preserve">TC-029</t>
  </si>
  <si>
    <t xml:space="preserve">§4.2, AT-4, Feature #5</t>
  </si>
  <si>
    <t xml:space="preserve">CARC group prefix (CO/PR/PI/OA) stripped for mapping</t>
  </si>
  <si>
    <t xml:space="preserve">PR204 (25 claims), CO204 (13 claims); PRA1, PIB11</t>
  </si>
  <si>
    <t xml:space="preserve">1. Compare category for prefixed variants of the same code.</t>
  </si>
  <si>
    <t xml:space="preserve">PR 204 and CO 204 both map to 204 and the same category.</t>
  </si>
  <si>
    <t xml:space="preserve">PR204 / CO204 → 204 → same category; CR96 now normalised and mapped.</t>
  </si>
  <si>
    <t xml:space="preserve">OBS-08 fixed</t>
  </si>
  <si>
    <t xml:space="preserve">TC-030</t>
  </si>
  <si>
    <t xml:space="preserve">§4.2, AT-5</t>
  </si>
  <si>
    <t xml:space="preserve">RARC codes keep their letter (e.g., N57, M127, MA130)</t>
  </si>
  <si>
    <t xml:space="preserve">Claim data and Denial Code Master</t>
  </si>
  <si>
    <t xml:space="preserve">1. Search for N57 / RARC codes.</t>
  </si>
  <si>
    <t xml:space="preserve">Stored and mapped as N57 (letter retained).</t>
  </si>
  <si>
    <t xml:space="preserve">No N57 / M127 / MA130 in claim data or Denial Code Master (116 codes); cannot exercise.</t>
  </si>
  <si>
    <t xml:space="preserve">Test data</t>
  </si>
  <si>
    <t xml:space="preserve">TC-031</t>
  </si>
  <si>
    <t xml:space="preserve">§4.3</t>
  </si>
  <si>
    <t xml:space="preserve">Denial categorization for all denial codes loaded into the Denial-Action master</t>
  </si>
  <si>
    <t xml:space="preserve">Workbench Category Map / Unmapped Codes</t>
  </si>
  <si>
    <t xml:space="preserve">1. Review category map coverage.
2. Review Unmapped Codes.</t>
  </si>
  <si>
    <t xml:space="preserve">Every primary denial code on synced claims has a category.</t>
  </si>
  <si>
    <t xml:space="preserve">Only 1 unmapped primary code (CO17, 2 claims); 110 of 5,839 denied claims (1.9%) categorised Other/blank.</t>
  </si>
  <si>
    <t xml:space="preserve">DEF-09 fixed</t>
  </si>
  <si>
    <t xml:space="preserve">TC-032</t>
  </si>
  <si>
    <t xml:space="preserve">§4.2</t>
  </si>
  <si>
    <t xml:space="preserve">Line-level display keeps original prefix but is not used for mapping</t>
  </si>
  <si>
    <t xml:space="preserve">Claim 19448764</t>
  </si>
  <si>
    <t xml:space="preserve">1. View line-level denials.</t>
  </si>
  <si>
    <t xml:space="preserve">Prefixed value shown; mapping uses stripped code.</t>
  </si>
  <si>
    <t xml:space="preserve">Line display keeps CO11 / CO252; mapping uses 11 / 252.</t>
  </si>
  <si>
    <t xml:space="preserve">TC-033</t>
  </si>
  <si>
    <t xml:space="preserve">Weekly Re-Sync</t>
  </si>
  <si>
    <t xml:space="preserve">§5, AT-10</t>
  </si>
  <si>
    <t xml:space="preserve">Assigned, not-yet-worked claim whose denial changes: update silently; if new primary is NC, auto-process and remove from agent queue</t>
  </si>
  <si>
    <t xml:space="preserve">Requires a sync with changed denial data</t>
  </si>
  <si>
    <t xml:space="preserve">1. Assign claim.
2. Load sync file with new (NC) denial.
3. Check agent queue.</t>
  </si>
  <si>
    <t xml:space="preserve">Denial updated without reassignment; NC claim auto-processed and removed.</t>
  </si>
  <si>
    <t xml:space="preserve">Sync 16–18 Oct: denial changes logged ('Denial Code Changed … on sync'); assigned claims whose claim status changed were held in Status Change Verification (14) with manager notifications. No assigned claim moved to an NC primary in this sync, so NC auto-process path not observed.</t>
  </si>
  <si>
    <t xml:space="preserve">TC-034</t>
  </si>
  <si>
    <t xml:space="preserve">§5, AT-9, Feature #7</t>
  </si>
  <si>
    <t xml:space="preserve">Worked claim (QA/Completed/QA Rejected) receives a new denial → after QA completes, moves to Re-Follow-Up – New Denials, unassigned, history intact</t>
  </si>
  <si>
    <t xml:space="preserve">Requires a sync with a new denial on a completed claim</t>
  </si>
  <si>
    <t xml:space="preserve">1. Complete claim.
2. Re-sync with new denial.</t>
  </si>
  <si>
    <t xml:space="preserve">Claim in Re-Follow-Up – New Denials, unassigned, full history.</t>
  </si>
  <si>
    <t xml:space="preserve">No worked claim received a new denial in this sync (New Denials sub-queue 0; NewDenialSinceWork / PreviousPrimaryDenialCode fields exist).</t>
  </si>
  <si>
    <t xml:space="preserve">Next sync</t>
  </si>
  <si>
    <t xml:space="preserve">TC-035</t>
  </si>
  <si>
    <t xml:space="preserve">§5, §3.1</t>
  </si>
  <si>
    <t xml:space="preserve">Followed-up claim with no reply/action for 45 days → Re-Follow-Up – Unresolved Claims</t>
  </si>
  <si>
    <t xml:space="preserve">RefollowupDays = 45</t>
  </si>
  <si>
    <t xml:space="preserve">1. Identify claims with last touch ≥ 45 days.</t>
  </si>
  <si>
    <t xml:space="preserve">Claims ≥ 45 days since last touch appear in Unresolved queue.</t>
  </si>
  <si>
    <t xml:space="preserve">RefollowupDays = 45; earliest worked follow-up 07 Oct → first eligible 21 Nov 2026.</t>
  </si>
  <si>
    <t xml:space="preserve">Time-based</t>
  </si>
  <si>
    <t xml:space="preserve">TC-036</t>
  </si>
  <si>
    <t xml:space="preserve">§5, §6, AT-12, Feature #9</t>
  </si>
  <si>
    <t xml:space="preserve">Auto-adjusted / approved write-off claim still open on next sync → flagged, returned to Auto Adjustments, agent &amp; manager notified</t>
  </si>
  <si>
    <t xml:space="preserve">Requires processed auto-adjustment + re-sync</t>
  </si>
  <si>
    <t xml:space="preserve">1. Process auto adjustment.
2. Re-sync with claim still open.</t>
  </si>
  <si>
    <t xml:space="preserve">Flag + return + notification.</t>
  </si>
  <si>
    <t xml:space="preserve">19510788 (never posted), 19122637 and 19521528 (marked posted, still open in master) flagged 'Adjustment Not Posted', returned to Auto Adjustments (System / Approved Write-Offs); ARAgent1 notified; RCMManager received 36 AdjustmentNotPosted notifications.</t>
  </si>
  <si>
    <t xml:space="preserve">TC-037</t>
  </si>
  <si>
    <t xml:space="preserve">§5</t>
  </si>
  <si>
    <t xml:space="preserve">Claim that now meets closed criteria moves to the relevant Closed queue</t>
  </si>
  <si>
    <t xml:space="preserve">Claims 19448701, 19446019, 19445909, 19454954, 19449830, 19449723, 19449752</t>
  </si>
  <si>
    <t xml:space="preserve">1. Check workflow status of Closed claims.</t>
  </si>
  <si>
    <t xml:space="preserve">Claim in Closed queue; recovered amount recognised.</t>
  </si>
  <si>
    <t xml:space="preserve">19538684 closed via sync (Ins Bal 124.28 → 0, audit 'Source Data Updated') → Closed – Fully Adjusted. Assigned claims that close are held in Status Change Verification for manager decision (19580937 'Complete' → Closed – Fully Adjusted).</t>
  </si>
  <si>
    <t xml:space="preserve">TC-038</t>
  </si>
  <si>
    <t xml:space="preserve">Auto Adjustments</t>
  </si>
  <si>
    <t xml:space="preserve">§6</t>
  </si>
  <si>
    <t xml:space="preserve">Auto-Adjust code list is configurable</t>
  </si>
  <si>
    <t xml:space="preserve">Workbench Lists &gt; Auto-Adjust Denial Codes</t>
  </si>
  <si>
    <t xml:space="preserve">1. Open list.</t>
  </si>
  <si>
    <t xml:space="preserve">List maintainable; seeded with 242, 197.</t>
  </si>
  <si>
    <t xml:space="preserve">Auto-Adjust list 8 codes (242, 197, 29, 119, 193, 204, 243, 279).</t>
  </si>
  <si>
    <t xml:space="preserve">TC-039</t>
  </si>
  <si>
    <t xml:space="preserve">§6, Feature #8</t>
  </si>
  <si>
    <t xml:space="preserve">Process Auto Adjustment: adds system comment, nullifies balance, moves claims to Auto Adjustments queue</t>
  </si>
  <si>
    <t xml:space="preserve">Work Queue &gt; Process Automatic Adjustments</t>
  </si>
  <si>
    <t xml:space="preserve">1. Run preview / process on matching claims.</t>
  </si>
  <si>
    <t xml:space="preserve">Claims moved to Auto Adjustments (not Completed) with system comment and $0 balance.</t>
  </si>
  <si>
    <t xml:space="preserve">Processed by Admin (19497919), TeamLead (19492367) and RCMManager (19491057): system comment, Auto Adjustments › System Auto-Adjusted. Screens show the balance nullified — 19497919 Claim Detail: Insurance Balance $0.00, Adjustments $228.86, Outstanding $0.00; Work Queue Ins. Balance $0 (confirmed by RSKP screenshot). Note: the raw claims-API field InsuranceBalance still carries the source value 228.86 with isBalanceNullified = true; RemainingAR = 0.</t>
  </si>
  <si>
    <t xml:space="preserve">DEF-20 fixed (UI); OBS-26</t>
  </si>
  <si>
    <t xml:space="preserve">TC-040</t>
  </si>
  <si>
    <t xml:space="preserve">§6, §10</t>
  </si>
  <si>
    <t xml:space="preserve">Admin / Mgr / TL can export the Auto Adjustments queue as a report for bulk PMS posting</t>
  </si>
  <si>
    <t xml:space="preserve">Work Queue export</t>
  </si>
  <si>
    <t xml:space="preserve">1. Filter AR Queue = Auto Adjustments.
2. Export.</t>
  </si>
  <si>
    <t xml:space="preserve">Dedicated export of Auto Adjustments queue.</t>
  </si>
  <si>
    <t xml:space="preserve">Auto Adjustments queue filterable; exports run as background jobs in My Downloads (.xlsx).</t>
  </si>
  <si>
    <t xml:space="preserve">TC-041</t>
  </si>
  <si>
    <t xml:space="preserve">Financial Fields</t>
  </si>
  <si>
    <t xml:space="preserve">§7, Feature #6</t>
  </si>
  <si>
    <t xml:space="preserve">'Expected Payment' renamed to 'Revenue Expectation' everywhere</t>
  </si>
  <si>
    <t xml:space="preserve">Claim detail; Work Queue grid</t>
  </si>
  <si>
    <t xml:space="preserve">1. Open claim detail.
2. Open Work Queue columns.</t>
  </si>
  <si>
    <t xml:space="preserve">Label reads 'Revenue Expectation' in all views.</t>
  </si>
  <si>
    <t xml:space="preserve">'Revenue Expectation' in Work Queue grid, column picker and Claim Detail; 'Expected Payment' no longer in the app.</t>
  </si>
  <si>
    <t xml:space="preserve">DEF-10 fixed</t>
  </si>
  <si>
    <t xml:space="preserve">TC-042</t>
  </si>
  <si>
    <t xml:space="preserve">§7</t>
  </si>
  <si>
    <t xml:space="preserve">Revenue Expectation = Medicare-rate allowable across billed CPTs (0 if no rate)</t>
  </si>
  <si>
    <t xml:space="preserve">1. Check RevenueExpectation values.
2. Compare with dashboard 'revenue expectation by AR queue'.</t>
  </si>
  <si>
    <t xml:space="preserve">Calculated from fee schedule for each claim.</t>
  </si>
  <si>
    <t xml:space="preserve">Revenue Expectation populated for 84,481 / 84,494 claims (Medicare fee rate × units per CPT). Per RSKP clarification (19 Oct), RE is calculated only for collectible Denied / No Response CPT lines — paid (and partially adjusted) lines are excluded. Observed behaviour matches: 19448764 counts only denied lines 87481 ($175.45) + 87640 ($35.09) = $210.54; 19543579 counts only 80307 ($62.14).</t>
  </si>
  <si>
    <t xml:space="preserve">DEF-21 withdrawn; OBS-27</t>
  </si>
  <si>
    <t xml:space="preserve">TC-043</t>
  </si>
  <si>
    <t xml:space="preserve">§7, AT-8</t>
  </si>
  <si>
    <t xml:space="preserve">Potential Recovery = Revenue Expectation − (Ins Paid + Pt Paid + Pt Bal), floor 0</t>
  </si>
  <si>
    <t xml:space="preserve">AT-8 case: RevExp $353, Ins paid $120, Pt bal $30</t>
  </si>
  <si>
    <t xml:space="preserve">1. Locate claim matching case.
2. Check Potential Recovery.</t>
  </si>
  <si>
    <t xml:space="preserve">Potential Recovery $203.</t>
  </si>
  <si>
    <t xml:space="preserve">Potential Recovery = max(0, RevExp − (Ins Pmt + Pt Pmt + Pt Bal)) verified on 141/141 sampled claims; dashboard total $2,044,885.55.</t>
  </si>
  <si>
    <t xml:space="preserve">DEF-11 fixed</t>
  </si>
  <si>
    <t xml:space="preserve">TC-044</t>
  </si>
  <si>
    <t xml:space="preserve">Recovery Status: In Progress / Partially Recovered / Fully Recovered / No Recovery</t>
  </si>
  <si>
    <t xml:space="preserve">Claim 19448764 (all payments 0)</t>
  </si>
  <si>
    <t xml:space="preserve">1. Open claim Overview.</t>
  </si>
  <si>
    <t xml:space="preserve">In Progress when Ins paid, Pt paid and Pt bal are all 0.</t>
  </si>
  <si>
    <t xml:space="preserve">22 of 141 sampled claims have the wrong Recovery Status: Patient AR claims with Pt Bal &gt; 0 show 'In Progress' (8,347 Patient AR claims overall).</t>
  </si>
  <si>
    <t xml:space="preserve">DEF-22</t>
  </si>
  <si>
    <t xml:space="preserve">TC-045</t>
  </si>
  <si>
    <t xml:space="preserve">Recovered Amount = insurance payments dated after denial date; adjustments excluded</t>
  </si>
  <si>
    <t xml:space="preserve">Recovery &amp; Financial Analytics</t>
  </si>
  <si>
    <t xml:space="preserve">1. Read metric definition and totals.</t>
  </si>
  <si>
    <t xml:space="preserve">Payments only, after denial date.</t>
  </si>
  <si>
    <t xml:space="preserve">Analytics definition: 'insurance payments dated after the claim's denial date … payments only; adjustments and write-offs are not recovery'. Total Recovered $29,314.64.</t>
  </si>
  <si>
    <t xml:space="preserve">DEF-12 fixed</t>
  </si>
  <si>
    <t xml:space="preserve">TC-046</t>
  </si>
  <si>
    <t xml:space="preserve">Follow-Up</t>
  </si>
  <si>
    <t xml:space="preserve">§8.1</t>
  </si>
  <si>
    <t xml:space="preserve">Follow-up notes captured at claim level only (no CPT-level notes)</t>
  </si>
  <si>
    <t xml:space="preserve">Claim 19448764 &gt; Log Follow-Up Note</t>
  </si>
  <si>
    <t xml:space="preserve">1. Open note form.</t>
  </si>
  <si>
    <t xml:space="preserve">Claim-level note only.</t>
  </si>
  <si>
    <t xml:space="preserve">Follow-up form is claim-level only.</t>
  </si>
  <si>
    <t xml:space="preserve">TC-047</t>
  </si>
  <si>
    <t xml:space="preserve">§8.1, AT-15</t>
  </si>
  <si>
    <t xml:space="preserve">Next Follow-Up Date defaults to today + 45 calendar days</t>
  </si>
  <si>
    <t xml:space="preserve">Test date Oct 15, 2026</t>
  </si>
  <si>
    <t xml:space="preserve">1. Open Log Follow-Up Note.
2. Read default date.</t>
  </si>
  <si>
    <t xml:space="preserve">Default = Nov 29, 2026.</t>
  </si>
  <si>
    <t xml:space="preserve">Default next follow-up 03 Dec 2026 on 19 Oct (= +45); min = today, no max.</t>
  </si>
  <si>
    <t xml:space="preserve">OBS-12</t>
  </si>
  <si>
    <t xml:space="preserve">TC-048</t>
  </si>
  <si>
    <t xml:space="preserve">Attachments</t>
  </si>
  <si>
    <t xml:space="preserve">§8.2, Feature #11</t>
  </si>
  <si>
    <t xml:space="preserve">Attachments available on follow-up notes for ALL actions</t>
  </si>
  <si>
    <t xml:space="preserve">Log Follow-Up Note form</t>
  </si>
  <si>
    <t xml:space="preserve">1. Open form for each Claim Status / Fix-Resolution.
2. Look for file upload.</t>
  </si>
  <si>
    <t xml:space="preserve">Upload control on every follow-up note.</t>
  </si>
  <si>
    <t xml:space="preserve">Log Follow-Up Note has 'Documents' section (up to 5 files, 15 MB each); 19514348 saved with 1 document.</t>
  </si>
  <si>
    <t xml:space="preserve">DEF-13 fixed</t>
  </si>
  <si>
    <t xml:space="preserve">TC-049</t>
  </si>
  <si>
    <t xml:space="preserve">§8.2</t>
  </si>
  <si>
    <t xml:space="preserve">Each upload requires a document category</t>
  </si>
  <si>
    <t xml:space="preserve">Document Categories list (6)</t>
  </si>
  <si>
    <t xml:space="preserve">1. Attempt upload.</t>
  </si>
  <si>
    <t xml:space="preserve">Category mandatory (Appeal, EOB, Medical Record, Payer Correspondence, CIP Response, Other).</t>
  </si>
  <si>
    <t xml:space="preserve">Save blocked: 'UAT_big_16MB.pdf: choose a document category.'; categories Appeal/EOB/Medical Record/Payer Correspondence/CIP Response/Other.</t>
  </si>
  <si>
    <t xml:space="preserve">TC-050</t>
  </si>
  <si>
    <t xml:space="preserve">Document Vault: search documents by claim/visit, patient and category</t>
  </si>
  <si>
    <t xml:space="preserve">Navigation</t>
  </si>
  <si>
    <t xml:space="preserve">1. Look for Document Vault.</t>
  </si>
  <si>
    <t xml:space="preserve">Document Vault screen available.</t>
  </si>
  <si>
    <t xml:space="preserve">Document Vault: search by claim/visit/patient, category, source (follow-up / CIP), date range; follow-up attachment listed with category Appeal.</t>
  </si>
  <si>
    <t xml:space="preserve">DEF-14 fixed</t>
  </si>
  <si>
    <t xml:space="preserve">TC-051</t>
  </si>
  <si>
    <t xml:space="preserve">Files stored in Azure Blob with HIPAA controls (encryption at rest, private access, RBAC, audit logging)</t>
  </si>
  <si>
    <t xml:space="preserve">Setting DocumentBlobContainer = arwb-documents</t>
  </si>
  <si>
    <t xml:space="preserve">1. Infrastructure review.</t>
  </si>
  <si>
    <t xml:space="preserve">Blob storage with HIPAA controls.</t>
  </si>
  <si>
    <t xml:space="preserve">Container setting present; Azure Blob encryption/private access/audit needs infra review.</t>
  </si>
  <si>
    <t xml:space="preserve">Infra review</t>
  </si>
  <si>
    <t xml:space="preserve">TC-052</t>
  </si>
  <si>
    <t xml:space="preserve">§8.2, AT-16</t>
  </si>
  <si>
    <t xml:space="preserve">Uploading a 20 MB file is rejected with a size-limit message</t>
  </si>
  <si>
    <t xml:space="preserve">AttachmentMaxBytes = 15,728,640 (15 MB)</t>
  </si>
  <si>
    <t xml:space="preserve">1. Upload 20 MB file.</t>
  </si>
  <si>
    <t xml:space="preserve">Rejected with size-limit message.</t>
  </si>
  <si>
    <t xml:space="preserve">16 MB file rejected on follow-up save ('larger than 15 MB') and on client CIP response.</t>
  </si>
  <si>
    <t xml:space="preserve">TC-053</t>
  </si>
  <si>
    <t xml:space="preserve">Write-Off Approval</t>
  </si>
  <si>
    <t xml:space="preserve">§8.3, Feature #10</t>
  </si>
  <si>
    <t xml:space="preserve">Agent selects Write-Off → claim goes to Submitted for QA</t>
  </si>
  <si>
    <t xml:space="preserve">Log Follow-Up Note: Claim Status = Denied</t>
  </si>
  <si>
    <t xml:space="preserve">1. Select Write Off.
2. Save.</t>
  </si>
  <si>
    <t xml:space="preserve">Claim routed to QA as a write-off.</t>
  </si>
  <si>
    <t xml:space="preserve">19518771 Write Off → Submitted for QA.</t>
  </si>
  <si>
    <t xml:space="preserve">TC-054</t>
  </si>
  <si>
    <t xml:space="preserve">§8.3, AT-11</t>
  </si>
  <si>
    <t xml:space="preserve">QA approves write-off → claim in 'Approved Write-Offs – Pending Posting' in agent's queue with notification; agent marks posted</t>
  </si>
  <si>
    <t xml:space="preserve">Requires write-off submission</t>
  </si>
  <si>
    <t xml:space="preserve">1. QA approve.
2. Check agent queue + notification.
3. Mark as Posted.</t>
  </si>
  <si>
    <t xml:space="preserve">Pending-posting list + notification 'Write-off approved — perform the write-off in the PMS.'</t>
  </si>
  <si>
    <t xml:space="preserve">QA bulk approval → Approved Write-Offs – Pending Posting; ARAgent1 notified; ARAgent1 marked 19521528 as posted (API 200).</t>
  </si>
  <si>
    <t xml:space="preserve">DEF-17 fixed</t>
  </si>
  <si>
    <t xml:space="preserve">TC-055</t>
  </si>
  <si>
    <t xml:space="preserve">Escalation / Reassignment</t>
  </si>
  <si>
    <t xml:space="preserve">§8.4, Feature #12</t>
  </si>
  <si>
    <t xml:space="preserve">Escalate to Supervisor with mandatory reason category; routed to TL and AR Manager</t>
  </si>
  <si>
    <t xml:space="preserve">Escalation Reasons (6)</t>
  </si>
  <si>
    <t xml:space="preserve">1. As agent, escalate.
2. Check Escalation &amp; Reassignment Requests.</t>
  </si>
  <si>
    <t xml:space="preserve">Mandatory reason dropdown + free text; visible to TL and Mgr.</t>
  </si>
  <si>
    <t xml:space="preserve">19085340 escalated: reason mandatory; claim stays Assigned to agent; TeamLead bulk-resolved with mandatory note.</t>
  </si>
  <si>
    <t xml:space="preserve">TC-056</t>
  </si>
  <si>
    <t xml:space="preserve">Request Reassignment with mandatory reason category</t>
  </si>
  <si>
    <t xml:space="preserve">Reassignment Reasons (5)</t>
  </si>
  <si>
    <t xml:space="preserve">1. As agent, request reassignment.</t>
  </si>
  <si>
    <t xml:space="preserve">Mandatory reason dropdown + free text.</t>
  </si>
  <si>
    <t xml:space="preserve">19052061 reassignment request (reason 'Workload / capacity') → TeamLead Reassign &amp; Resolve → ARAgent3; request auto-resolved.</t>
  </si>
  <si>
    <t xml:space="preserve">TC-057</t>
  </si>
  <si>
    <t xml:space="preserve">Assignment</t>
  </si>
  <si>
    <t xml:space="preserve">§8.5, Feature #13</t>
  </si>
  <si>
    <t xml:space="preserve">Due Date on batch assignment is optional</t>
  </si>
  <si>
    <t xml:space="preserve">Assignment Management &gt; Create Assignment Batch</t>
  </si>
  <si>
    <t xml:space="preserve">1. Review batch form.
2. Review existing batch.</t>
  </si>
  <si>
    <t xml:space="preserve">Due Date optional; applies to every claim in batch.</t>
  </si>
  <si>
    <t xml:space="preserve">Batch Due Date optional; BATCH-0001 due 23 Oct; direct assign with due date 23 Oct.</t>
  </si>
  <si>
    <t xml:space="preserve">TC-058</t>
  </si>
  <si>
    <t xml:space="preserve">CIP Workflow</t>
  </si>
  <si>
    <t xml:space="preserve">§9.1</t>
  </si>
  <si>
    <t xml:space="preserve">Selecting CIP requires internal Follow-Up Comment + client-facing CIP Comment; CIP box only when CIP selected</t>
  </si>
  <si>
    <t xml:space="preserve">Log Follow-Up Note; Fix/Resolution = CIP - Client Escalations</t>
  </si>
  <si>
    <t xml:space="preserve">1. Toggle resolution between CIP / non-CIP.</t>
  </si>
  <si>
    <t xml:space="preserve">CIP Comment appears only for CIP and is mandatory.</t>
  </si>
  <si>
    <t xml:space="preserve">CIP Category / Required Information / CIP Comment shown only for CIP; saved on 19521746 and 19375256.</t>
  </si>
  <si>
    <t xml:space="preserve">TC-059</t>
  </si>
  <si>
    <t xml:space="preserve">CIP note goes to Submitted for QA; QA by QA Reviewer / TL / RCM Mgr</t>
  </si>
  <si>
    <t xml:space="preserve">Claim 18955927</t>
  </si>
  <si>
    <t xml:space="preserve">1. Review activity timeline.</t>
  </si>
  <si>
    <t xml:space="preserve">Routed to QA; after QA approval enters CIP Pending Approval.</t>
  </si>
  <si>
    <t xml:space="preserve">QA bulk approval: '2 CIP escalation(s) now Pending Approval'.</t>
  </si>
  <si>
    <t xml:space="preserve">TC-060</t>
  </si>
  <si>
    <t xml:space="preserve">CIP Escalations – Pending Approval accessible only to TL, RCM Mgr, Admin; individual or bulk approval</t>
  </si>
  <si>
    <t xml:space="preserve">CIP Escalations screen</t>
  </si>
  <si>
    <t xml:space="preserve">1. Open screen.
2. Check roles and bulk actions.</t>
  </si>
  <si>
    <t xml:space="preserve">Second approval layer with bulk approve.</t>
  </si>
  <si>
    <t xml:space="preserve">TeamLead: 'Approve &amp; Send to Client' (CIP-000004) and Bulk Approve (CIP-000005).</t>
  </si>
  <si>
    <t xml:space="preserve">TC-061</t>
  </si>
  <si>
    <t xml:space="preserve">Approved CIPs appear in client's Escalation Requests tab</t>
  </si>
  <si>
    <t xml:space="preserve">Requires approval + client login</t>
  </si>
  <si>
    <t xml:space="preserve">1. Approve CIP.
2. Log in as client.</t>
  </si>
  <si>
    <t xml:space="preserve">CIP visible to scoped client user.</t>
  </si>
  <si>
    <t xml:space="preserve">ClinicViewer sees CIP-000004; AccountManager sees CIP-000003/4/5; CIP-000001 (Pending Approval) hidden.</t>
  </si>
  <si>
    <t xml:space="preserve">TC-062</t>
  </si>
  <si>
    <t xml:space="preserve">§9.1, AT-13</t>
  </si>
  <si>
    <t xml:space="preserve">Client responds (with attachments) → Client Responded; manager re-escalates or approves → claim returns to original agent</t>
  </si>
  <si>
    <t xml:space="preserve">Requires client response</t>
  </si>
  <si>
    <t xml:space="preserve">1. Client responds.
2. Manager approves.</t>
  </si>
  <si>
    <t xml:space="preserve">Claim auto-returns to original agent.</t>
  </si>
  <si>
    <t xml:space="preserve">ClinicViewer responded (PDF) → CIP Response Received → RCMManager Insufficient (note) → Round 2 → AccountManager responded → RCMManager Approve &amp; Return → 19521746 and 19375256 Assigned to ARAgent1.</t>
  </si>
  <si>
    <t xml:space="preserve">DEF-19 fixed</t>
  </si>
  <si>
    <t xml:space="preserve">TC-063</t>
  </si>
  <si>
    <t xml:space="preserve">§9.2</t>
  </si>
  <si>
    <t xml:space="preserve">Internal follow-up comments and client-facing CIP comments stored and displayed separately; client never sees internal notes</t>
  </si>
  <si>
    <t xml:space="preserve">1. Review stored fields.
2. View as client.</t>
  </si>
  <si>
    <t xml:space="preserve">Separate storage; client sees only CIP comment + response.</t>
  </si>
  <si>
    <t xml:space="preserve">Client claim page shows only Overview / CPT / Denial Info / Documents; claim API returns no internal notes (ClinicViewer and AccountManager; old claim 19524452 too).</t>
  </si>
  <si>
    <t xml:space="preserve">DEF-15 fixed</t>
  </si>
  <si>
    <t xml:space="preserve">TC-064</t>
  </si>
  <si>
    <t xml:space="preserve">§10</t>
  </si>
  <si>
    <t xml:space="preserve">Navigation/permissions match the role matrix</t>
  </si>
  <si>
    <t xml:space="preserve">App role configuration</t>
  </si>
  <si>
    <t xml:space="preserve">1. Compare each screen's roles with §10 matrix.</t>
  </si>
  <si>
    <t xml:space="preserve">Matches matrix.</t>
  </si>
  <si>
    <t xml:space="preserve">Server-enforced matrix aligned for all 7 roles. Deviations: Analytics / Reports / Document Vault open to Agent &amp; QA; QA grid shows a checkbox on ineligible (own-work) rows.</t>
  </si>
  <si>
    <t xml:space="preserve">OBS-13, DEF-30</t>
  </si>
  <si>
    <t xml:space="preserve">TC-065</t>
  </si>
  <si>
    <t xml:space="preserve">User Management</t>
  </si>
  <si>
    <t xml:space="preserve">§10.1, Feature #14</t>
  </si>
  <si>
    <t xml:space="preserve">Admin creates client users scoped Lab → Clinic with cascading selection</t>
  </si>
  <si>
    <t xml:space="preserve">User Management &gt; Add User</t>
  </si>
  <si>
    <t xml:space="preserve">1. Choose role Clinic Viewer.
2. Select lab.</t>
  </si>
  <si>
    <t xml:space="preserve">Selecting a lab loads only that lab's clinics.</t>
  </si>
  <si>
    <t xml:space="preserve">Add User: Client / Clinic / Provider Viewer; cascading clinic picker; Azure AD users tab present.</t>
  </si>
  <si>
    <t xml:space="preserve">TC-066</t>
  </si>
  <si>
    <t xml:space="preserve">§10.1, AT-14</t>
  </si>
  <si>
    <t xml:space="preserve">Clinic-scoped user sees only that clinic's data and CIPs; never internal notes</t>
  </si>
  <si>
    <t xml:space="preserve">Requires Clinic Viewer login</t>
  </si>
  <si>
    <t xml:space="preserve">1. Log in as clinic user.</t>
  </si>
  <si>
    <t xml:space="preserve">Only Clinic A data / CIPs.</t>
  </si>
  <si>
    <t xml:space="preserve">ClinicViewer: 7,300 claims all Insight Family Practice; Spark to Recovery claim 404; no internal notes.</t>
  </si>
  <si>
    <t xml:space="preserve">TC-067</t>
  </si>
  <si>
    <t xml:space="preserve">§10.1</t>
  </si>
  <si>
    <t xml:space="preserve">CIP escalations for a clinic routed to that clinic's scoped user(s)</t>
  </si>
  <si>
    <t xml:space="preserve">1. Approve CIP for a clinic.
2. Check scoped user.</t>
  </si>
  <si>
    <t xml:space="preserve">Routed to scoped user.</t>
  </si>
  <si>
    <t xml:space="preserve">ClinicViewer has Respond and answered CIP-000004 with attachment.</t>
  </si>
  <si>
    <t xml:space="preserve">DEF-18 fixed</t>
  </si>
  <si>
    <t xml:space="preserve">TC-068</t>
  </si>
  <si>
    <t xml:space="preserve">Export / Import</t>
  </si>
  <si>
    <t xml:space="preserve">Project instructions</t>
  </si>
  <si>
    <t xml:space="preserve">AR users can export claims to Excel and update status via Excel upload</t>
  </si>
  <si>
    <t xml:space="preserve">Work Queue toolbar</t>
  </si>
  <si>
    <t xml:space="preserve">1. Review export / bulk update options.</t>
  </si>
  <si>
    <t xml:space="preserve">Export and bulk update available.</t>
  </si>
  <si>
    <t xml:space="preserve">Export Filtered / All / Excel → background jobs in My Downloads; Bulk Update (Excel) present (upload not executed). Client users have Reports export only — no claim/line-item export.</t>
  </si>
  <si>
    <t xml:space="preserve">DEF-29</t>
  </si>
  <si>
    <t xml:space="preserve">Req ID</t>
  </si>
  <si>
    <t xml:space="preserve">Requirement (summary)</t>
  </si>
  <si>
    <t xml:space="preserve">Evidence / Actual Result</t>
  </si>
  <si>
    <t xml:space="preserve">FR-ACC-01</t>
  </si>
  <si>
    <t xml:space="preserve">Roles &amp; Scoping</t>
  </si>
  <si>
    <t xml:space="preserve">One role + one access grant (All / Client / Clinic / Provider)</t>
  </si>
  <si>
    <t xml:space="preserve">Add User offers Client, Clinic, Provider Viewer with per-lab clinic picker.</t>
  </si>
  <si>
    <t xml:space="preserve">FR-ACC-02</t>
  </si>
  <si>
    <t xml:space="preserve">Central scoping on every screen, count, export, API</t>
  </si>
  <si>
    <t xml:space="preserve">Agent 23 claims everywhere; QA 7,416; ClinicViewer 7,300 (claims, queues, dashboard, vault).</t>
  </si>
  <si>
    <t xml:space="preserve">FR-ACC-03</t>
  </si>
  <si>
    <t xml:space="preserve">Fixed scope badge for scoped users</t>
  </si>
  <si>
    <t xml:space="preserve">Header 'Clinic: Insight Family Practice' / 'Client: Inhealth_DTR'.</t>
  </si>
  <si>
    <t xml:space="preserve">FR-ACC-04</t>
  </si>
  <si>
    <t xml:space="preserve">Single route/role declaration for nav, routing and API</t>
  </si>
  <si>
    <t xml:space="preserve">UI 'Your role … cannot open …' plus API 403 for the same screens.</t>
  </si>
  <si>
    <t xml:space="preserve">FR-ACC-05</t>
  </si>
  <si>
    <t xml:space="preserve">Agent sees only own claims in every view</t>
  </si>
  <si>
    <t xml:space="preserve">Work Queue, My Work, queues API = 23; other claim 404.</t>
  </si>
  <si>
    <t xml:space="preserve">FR-ACC-06</t>
  </si>
  <si>
    <t xml:space="preserve">Client users never see internal notes on escalated claims</t>
  </si>
  <si>
    <t xml:space="preserve">No Follow-Ups / Activity / QA tabs; API clean.</t>
  </si>
  <si>
    <t xml:space="preserve">FR-NAV-01</t>
  </si>
  <si>
    <t xml:space="preserve">Land on first permitted screen</t>
  </si>
  <si>
    <t xml:space="preserve">Agent → My Work; Clinic Viewer → Escalation Requests; Admin → Dashboard.</t>
  </si>
  <si>
    <t xml:space="preserve">FR-NAV-02</t>
  </si>
  <si>
    <t xml:space="preserve">Badge = destination list predicate</t>
  </si>
  <si>
    <t xml:space="preserve">Work Queue badge 7,218 = unassigned PC claims; QA badge = awaiting QA rows.</t>
  </si>
  <si>
    <t xml:space="preserve">FR-NAV-03</t>
  </si>
  <si>
    <t xml:space="preserve">Header shows refresh date and source period</t>
  </si>
  <si>
    <t xml:space="preserve">'master file loaded Oct 18 · synced Oct 18'; source period on Data Processing.</t>
  </si>
  <si>
    <t xml:space="preserve">FR-NAV-04</t>
  </si>
  <si>
    <t xml:space="preserve">Claim Detail Back returns to originating screen</t>
  </si>
  <si>
    <t xml:space="preserve">Back link always reads '← Back to Work Queue' (also from CIP / client screens).</t>
  </si>
  <si>
    <t xml:space="preserve">OBS-21</t>
  </si>
  <si>
    <t xml:space="preserve">FR-DP-01</t>
  </si>
  <si>
    <t xml:space="preserve">Data Processing</t>
  </si>
  <si>
    <t xml:space="preserve">Refresh date, source period, counts, Run action</t>
  </si>
  <si>
    <t xml:space="preserve">Run Master File Load / Run Data Processing (admin, manager).</t>
  </si>
  <si>
    <t xml:space="preserve">FR-DP-02</t>
  </si>
  <si>
    <t xml:space="preserve">Run executes sync → normalise → classify → insights with logged progress</t>
  </si>
  <si>
    <t xml:space="preserve">Run log present (Master File Loads, Run history); a run was not triggered by the tester.</t>
  </si>
  <si>
    <t xml:space="preserve">FR-DP-03</t>
  </si>
  <si>
    <t xml:space="preserve">Insights table columns</t>
  </si>
  <si>
    <t xml:space="preserve">All listed columns present incl. Still Open.</t>
  </si>
  <si>
    <t xml:space="preserve">FR-DP-04</t>
  </si>
  <si>
    <t xml:space="preserve">Insights by primary code; open, unassigned only</t>
  </si>
  <si>
    <t xml:space="preserve">216: 2,219 / $773,349.77 matches recompute.</t>
  </si>
  <si>
    <t xml:space="preserve">FR-DP-05</t>
  </si>
  <si>
    <t xml:space="preserve">Highest $ impact payer &amp; %</t>
  </si>
  <si>
    <t xml:space="preserve">BCBS-MT, 100%.</t>
  </si>
  <si>
    <t xml:space="preserve">FR-DP-06</t>
  </si>
  <si>
    <t xml:space="preserve">Observation &amp; recommended action text</t>
  </si>
  <si>
    <t xml:space="preserve">Observation and action from Key Observations.</t>
  </si>
  <si>
    <t xml:space="preserve">FR-DP-07</t>
  </si>
  <si>
    <t xml:space="preserve">Route to Work Queue with removable insight chip</t>
  </si>
  <si>
    <t xml:space="preserve">15 Oct: chip 'Denial Code: CO-216'; 1,700 vs 1,699 rows.</t>
  </si>
  <si>
    <t xml:space="preserve">FR-DP-08</t>
  </si>
  <si>
    <t xml:space="preserve">Dashboard top-5 current week; DP full list</t>
  </si>
  <si>
    <t xml:space="preserve">Dashboard shows current-week uploaded insight.</t>
  </si>
  <si>
    <t xml:space="preserve">FR-ARQ-01</t>
  </si>
  <si>
    <t xml:space="preserve">AR Queue Engine</t>
  </si>
  <si>
    <t xml:space="preserve">Queue taxonomy as master data</t>
  </si>
  <si>
    <t xml:space="preserve">queues API returns taxonomy with labels, priority flags.</t>
  </si>
  <si>
    <t xml:space="preserve">FR-ARQ-02</t>
  </si>
  <si>
    <t xml:space="preserve">Queue badge 'Top · Sub' on lists &amp; detail</t>
  </si>
  <si>
    <t xml:space="preserve">e.g. 'Denied · Possible Collectible'.</t>
  </si>
  <si>
    <t xml:space="preserve">FR-ARQ-03</t>
  </si>
  <si>
    <t xml:space="preserve">Recompute after sync/action; nightly snapshot</t>
  </si>
  <si>
    <t xml:space="preserve">Snapshots daily to 19 Oct; queues update immediately after actions.</t>
  </si>
  <si>
    <t xml:space="preserve">FR-ARQ-04</t>
  </si>
  <si>
    <t xml:space="preserve">Non-priority leaves admin/mgr/lead only; ad-hoc assignment flagged</t>
  </si>
  <si>
    <t xml:space="preserve">18954330 (Closed) assigned → AdHocFollowUpAssigned = true, audit 'Ad-Hoc Assignment'.</t>
  </si>
  <si>
    <t xml:space="preserve">§18.3</t>
  </si>
  <si>
    <t xml:space="preserve">Precedence table (first match wins)</t>
  </si>
  <si>
    <t xml:space="preserve">Full reconciliation of 84,494 claims; 0 rule exceptions.</t>
  </si>
  <si>
    <t xml:space="preserve">FR-DASH-KPI</t>
  </si>
  <si>
    <t xml:space="preserve">Dashboard</t>
  </si>
  <si>
    <t xml:space="preserve">10 KPI tiles per definitions</t>
  </si>
  <si>
    <t xml:space="preserve">All tiles present; Potential Recovery $2.04M; Recovered $29,314.64; Awaiting Assignment 7,218.</t>
  </si>
  <si>
    <t xml:space="preserve">FR-DASH-01</t>
  </si>
  <si>
    <t xml:space="preserve">Standard widgets</t>
  </si>
  <si>
    <t xml:space="preserve">Insights, AR Collections Progress, Queue Volumes, Category, Aging, Workflow, Recovery donut, Agent Productivity.</t>
  </si>
  <si>
    <t xml:space="preserve">FR-DASH-02</t>
  </si>
  <si>
    <t xml:space="preserve">Control Plan widget (Open / In Progress / Closed by classification &amp; action)</t>
  </si>
  <si>
    <t xml:space="preserve">Not present.</t>
  </si>
  <si>
    <t xml:space="preserve">DEF-23</t>
  </si>
  <si>
    <t xml:space="preserve">FR-DASH-03</t>
  </si>
  <si>
    <t xml:space="preserve">SLA attainment, Appeal Success Rate tiles</t>
  </si>
  <si>
    <t xml:space="preserve">Not present (Operational SLA exists only as a report).</t>
  </si>
  <si>
    <t xml:space="preserve">FR-DASH-04</t>
  </si>
  <si>
    <t xml:space="preserve">Scoped widgets; bar click opens Work Queue</t>
  </si>
  <si>
    <t xml:space="preserve">FR-WQ-01</t>
  </si>
  <si>
    <t xml:space="preserve">Work Queue</t>
  </si>
  <si>
    <t xml:space="preserve">Agent base population vs full register</t>
  </si>
  <si>
    <t xml:space="preserve">Agent 23 own; admin 84,494.</t>
  </si>
  <si>
    <t xml:space="preserve">FR-WQ-02</t>
  </si>
  <si>
    <t xml:space="preserve">Primary filters</t>
  </si>
  <si>
    <t xml:space="preserve">Search, Clinic, Payer, Panel, Category, Status, Agent, Priority, Aging, AR Queue, TFL.</t>
  </si>
  <si>
    <t xml:space="preserve">FR-WQ-03</t>
  </si>
  <si>
    <t xml:space="preserve">More filters (Claim Status, Rendering Provider, Fix, CPT, balance, next FU range)</t>
  </si>
  <si>
    <t xml:space="preserve">No 'More filters' on Work Queue (My Work has one).</t>
  </si>
  <si>
    <t xml:space="preserve">DEF-24</t>
  </si>
  <si>
    <t xml:space="preserve">FR-WQ-04</t>
  </si>
  <si>
    <t xml:space="preserve">Saved views (server)</t>
  </si>
  <si>
    <t xml:space="preserve">Save View / Saved View selector; saved-views API.</t>
  </si>
  <si>
    <t xml:space="preserve">FR-WQ-05</t>
  </si>
  <si>
    <t xml:space="preserve">Columns incl. hidden-by-default set</t>
  </si>
  <si>
    <t xml:space="preserve">Column picker incl. Denial Reason, Claim Status, Fix, Revenue Expectation, Recovered, Recovery Status, Remaining AR.</t>
  </si>
  <si>
    <t xml:space="preserve">FR-WQ-06</t>
  </si>
  <si>
    <t xml:space="preserve">Bulk assign; previous agent audited</t>
  </si>
  <si>
    <t xml:space="preserve">7 claims assigned; reassign audited.</t>
  </si>
  <si>
    <t xml:space="preserve">FR-WQ-07</t>
  </si>
  <si>
    <t xml:space="preserve">Process Automatic Adjustments (admin/mgr/lead)</t>
  </si>
  <si>
    <t xml:space="preserve">Processed by all three roles.</t>
  </si>
  <si>
    <t xml:space="preserve">FR-WQ-08</t>
  </si>
  <si>
    <t xml:space="preserve">Claim-level rows</t>
  </si>
  <si>
    <t xml:space="preserve">Row count = claims.</t>
  </si>
  <si>
    <t xml:space="preserve">FR-CD-01</t>
  </si>
  <si>
    <t xml:space="preserve">Header badges &amp; identifiers</t>
  </si>
  <si>
    <t xml:space="preserve">Status, queue, priority, TFL badges; payer, panel, DOS, patient, provider, clinic.</t>
  </si>
  <si>
    <t xml:space="preserve">FR-CD-02</t>
  </si>
  <si>
    <t xml:space="preserve">Stepper + category workflow path</t>
  </si>
  <si>
    <t xml:space="preserve">Identified → Assigned → QA Verification → Completed + template path.</t>
  </si>
  <si>
    <t xml:space="preserve">FR-CD-03</t>
  </si>
  <si>
    <t xml:space="preserve">Tabs incl. Documents</t>
  </si>
  <si>
    <t xml:space="preserve">Overview, CPT, Denial Info, Follow-Ups, Activity, QA Review, Documents.</t>
  </si>
  <si>
    <t xml:space="preserve">FR-CD-04</t>
  </si>
  <si>
    <t xml:space="preserve">Overview stat strip with S formulas</t>
  </si>
  <si>
    <t xml:space="preserve">Revenue Expectation, Potential Recovery, Recovery Status shown.</t>
  </si>
  <si>
    <t xml:space="preserve">FR-CD-05</t>
  </si>
  <si>
    <t xml:space="preserve">CPT columns + per-line denial expand</t>
  </si>
  <si>
    <t xml:space="preserve">Expand per CPT with code, description, category; adds Fee Rate &amp; Rev. Expectation columns.</t>
  </si>
  <si>
    <t xml:space="preserve">FR-CD-06</t>
  </si>
  <si>
    <t xml:space="preserve">Denial Info fields</t>
  </si>
  <si>
    <t xml:space="preserve">All fields incl. corrective action, TFL, supporting docs.</t>
  </si>
  <si>
    <t xml:space="preserve">FR-CD-07</t>
  </si>
  <si>
    <t xml:space="preserve">Follow-Ups tab</t>
  </si>
  <si>
    <t xml:space="preserve">Note cards with CIP block.</t>
  </si>
  <si>
    <t xml:space="preserve">FR-CD-08</t>
  </si>
  <si>
    <t xml:space="preserve">Activity Timeline with prev → new</t>
  </si>
  <si>
    <t xml:space="preserve">Includes sync-driven changes.</t>
  </si>
  <si>
    <t xml:space="preserve">FR-CD-09</t>
  </si>
  <si>
    <t xml:space="preserve">Role-gated header actions</t>
  </si>
  <si>
    <t xml:space="preserve">Agent: Escalate / Request Reassignment / Log; Admin: Reassign / Log; client: none.</t>
  </si>
  <si>
    <t xml:space="preserve">§22</t>
  </si>
  <si>
    <t xml:space="preserve">Follow-Up Note</t>
  </si>
  <si>
    <t xml:space="preserve">Comments Framework fields &amp; rules</t>
  </si>
  <si>
    <t xml:space="preserve">Root cause only when Denied; Fix by status; +45 days; CIP fields; attachments with category.</t>
  </si>
  <si>
    <t xml:space="preserve">FR-FU-01</t>
  </si>
  <si>
    <t xml:space="preserve">Save → QA record, Submitted for QA, audit entries</t>
  </si>
  <si>
    <t xml:space="preserve">'Follow-up logged … sent to the QA Verification Queue'.</t>
  </si>
  <si>
    <t xml:space="preserve">FR-FU-02</t>
  </si>
  <si>
    <t xml:space="preserve">Ingested claim status kept separate</t>
  </si>
  <si>
    <t xml:space="preserve">SourceClaimStatus unchanged after notes.</t>
  </si>
  <si>
    <t xml:space="preserve">FR-FU-03</t>
  </si>
  <si>
    <t xml:space="preserve">CIP case visible for approval only after QA</t>
  </si>
  <si>
    <t xml:space="preserve">Pending Approval only after QA bulk approval.</t>
  </si>
  <si>
    <t xml:space="preserve">FR-FU-04</t>
  </si>
  <si>
    <t xml:space="preserve">Write Off follows approval loop</t>
  </si>
  <si>
    <t xml:space="preserve">19518771 → Approved Write-Offs – Pending Posting.</t>
  </si>
  <si>
    <t xml:space="preserve">FR-FU-05</t>
  </si>
  <si>
    <t xml:space="preserve">Log Follow-Up from My Work / FUM rows</t>
  </si>
  <si>
    <t xml:space="preserve">Row action present.</t>
  </si>
  <si>
    <t xml:space="preserve">FR-FU-06</t>
  </si>
  <si>
    <t xml:space="preserve">Bulk follow-up via Excel upload</t>
  </si>
  <si>
    <t xml:space="preserve">Bulk Update (Excel) button present; upload not run.</t>
  </si>
  <si>
    <t xml:space="preserve">FR-ASG-01</t>
  </si>
  <si>
    <t xml:space="preserve">Unassigned 45+ days list</t>
  </si>
  <si>
    <t xml:space="preserve">4,955 PC / Re-Follow-Up claims untouched 45+ days.</t>
  </si>
  <si>
    <t xml:space="preserve">FR-ASG-02</t>
  </si>
  <si>
    <t xml:space="preserve">Batch criteria incl. Action filter; optional due date</t>
  </si>
  <si>
    <t xml:space="preserve">Category, Payer, Panel, Priority, due date OK; no Action/Task filter (no Client filter – single lab).</t>
  </si>
  <si>
    <t xml:space="preserve">DEF-25</t>
  </si>
  <si>
    <t xml:space="preserve">FR-ASG-03</t>
  </si>
  <si>
    <t xml:space="preserve">Batches log, server-persisted</t>
  </si>
  <si>
    <t xml:space="preserve">BATCH-0001 persisted with completion %.</t>
  </si>
  <si>
    <t xml:space="preserve">FR-ASG-04</t>
  </si>
  <si>
    <t xml:space="preserve">Agent workload chart</t>
  </si>
  <si>
    <t xml:space="preserve">Open claims per agent.</t>
  </si>
  <si>
    <t xml:space="preserve">FR-ASG-05</t>
  </si>
  <si>
    <t xml:space="preserve">Assigned Claims – Bulk Reassign</t>
  </si>
  <si>
    <t xml:space="preserve">Section present (77 claims, incl. completed-but-unpaid).</t>
  </si>
  <si>
    <t xml:space="preserve">FR-ASG-06</t>
  </si>
  <si>
    <t xml:space="preserve">Reassign resolves pending request</t>
  </si>
  <si>
    <t xml:space="preserve">19052061 'Resolved by reassigning to ARAgent3'.</t>
  </si>
  <si>
    <t xml:space="preserve">FR-ASG-07</t>
  </si>
  <si>
    <t xml:space="preserve">Assigned claims leave insight counts</t>
  </si>
  <si>
    <t xml:space="preserve">216 still-open excludes assigned claims.</t>
  </si>
  <si>
    <t xml:space="preserve">FR-MW-01</t>
  </si>
  <si>
    <t xml:space="preserve">My Work</t>
  </si>
  <si>
    <t xml:space="preserve">Agent own / lead team scope</t>
  </si>
  <si>
    <t xml:space="preserve">Agent 23 claims.</t>
  </si>
  <si>
    <t xml:space="preserve">FR-MW-02</t>
  </si>
  <si>
    <t xml:space="preserve">KPI tiles incl. (N) Approved Write-Offs &amp; New Denials</t>
  </si>
  <si>
    <t xml:space="preserve">9 standard tiles present; the two new tiles missing.</t>
  </si>
  <si>
    <t xml:space="preserve">DEF-26</t>
  </si>
  <si>
    <t xml:space="preserve">FR-MW-03</t>
  </si>
  <si>
    <t xml:space="preserve">Filters incl. More filters, saved views</t>
  </si>
  <si>
    <t xml:space="preserve">Present.</t>
  </si>
  <si>
    <t xml:space="preserve">FR-MW-04</t>
  </si>
  <si>
    <t xml:space="preserve">Columns + Log Follow-Up action</t>
  </si>
  <si>
    <t xml:space="preserve">FR-FUM-01</t>
  </si>
  <si>
    <t xml:space="preserve">Follow-Up Mgmt</t>
  </si>
  <si>
    <t xml:space="preserve">Actionable to-do queue</t>
  </si>
  <si>
    <t xml:space="preserve">Claims drop off when logged.</t>
  </si>
  <si>
    <t xml:space="preserve">FR-FUM-02</t>
  </si>
  <si>
    <t xml:space="preserve">Window tiles</t>
  </si>
  <si>
    <t xml:space="preserve">All Active / Overdue / Due Today / Upcoming / No Follow-Up.</t>
  </si>
  <si>
    <t xml:space="preserve">FR-FUM-03</t>
  </si>
  <si>
    <t xml:space="preserve">Filters</t>
  </si>
  <si>
    <t xml:space="preserve">FR-FUM-04</t>
  </si>
  <si>
    <t xml:space="preserve">Overdue/today colouring</t>
  </si>
  <si>
    <t xml:space="preserve">FR-FUM-05</t>
  </si>
  <si>
    <t xml:space="preserve">Re-follow-up 45-day logic</t>
  </si>
  <si>
    <t xml:space="preserve">Time-based (first eligible 21 Nov).</t>
  </si>
  <si>
    <t xml:space="preserve">FR-QA-01</t>
  </si>
  <si>
    <t xml:space="preserve">QA</t>
  </si>
  <si>
    <t xml:space="preserve">Population &amp; filters</t>
  </si>
  <si>
    <t xml:space="preserve">Filters incl. Escalation, QA Reviewer.</t>
  </si>
  <si>
    <t xml:space="preserve">FR-QA-02</t>
  </si>
  <si>
    <t xml:space="preserve">Columns &amp; actions</t>
  </si>
  <si>
    <t xml:space="preserve">Approve / Reject or Review.</t>
  </si>
  <si>
    <t xml:space="preserve">FR-QA-03</t>
  </si>
  <si>
    <t xml:space="preserve">Self-approval blocked for every role</t>
  </si>
  <si>
    <t xml:space="preserve">TeamLead own claim: Review only; API 409 'you cannot QA your own work'.</t>
  </si>
  <si>
    <t xml:space="preserve">FR-QA-04</t>
  </si>
  <si>
    <t xml:space="preserve">Reject requires error type + note; returns to same agent</t>
  </si>
  <si>
    <t xml:space="preserve">'Add a note explaining what needs correcting.'</t>
  </si>
  <si>
    <t xml:space="preserve">FR-QA-05</t>
  </si>
  <si>
    <t xml:space="preserve">Six scoring criteria</t>
  </si>
  <si>
    <t xml:space="preserve">Shown in approve/reject dialogs.</t>
  </si>
  <si>
    <t xml:space="preserve">FR-QA-06</t>
  </si>
  <si>
    <t xml:space="preserve">Bulk approve eligibility + summary</t>
  </si>
  <si>
    <t xml:space="preserve">Summary shows count, $, CIP and write-off counts; but ineligible own-work row still has a checkbox.</t>
  </si>
  <si>
    <t xml:space="preserve">DEF-30</t>
  </si>
  <si>
    <t xml:space="preserve">FR-QA-07</t>
  </si>
  <si>
    <t xml:space="preserve">CIP → Pending Approval; Write-Off → Pending Posting</t>
  </si>
  <si>
    <t xml:space="preserve">Toast '2 CIP … 1 write-off(s) approved'.</t>
  </si>
  <si>
    <t xml:space="preserve">FR-REQ-01</t>
  </si>
  <si>
    <t xml:space="preserve">Requests</t>
  </si>
  <si>
    <t xml:space="preserve">Escalate / Reassign with reason category</t>
  </si>
  <si>
    <t xml:space="preserve">'Choose a reason.' when missing.</t>
  </si>
  <si>
    <t xml:space="preserve">FR-REQ-02</t>
  </si>
  <si>
    <t xml:space="preserve">Request record fields</t>
  </si>
  <si>
    <t xml:space="preserve">Type, reason, note, status, resolution.</t>
  </si>
  <si>
    <t xml:space="preserve">FR-REQ-03</t>
  </si>
  <si>
    <t xml:space="preserve">Queue filters &amp; columns</t>
  </si>
  <si>
    <t xml:space="preserve">Incl. Reason / Note column.</t>
  </si>
  <si>
    <t xml:space="preserve">FR-REQ-04</t>
  </si>
  <si>
    <t xml:space="preserve">Respond: Mark Resolved / Open Claim / Reassign &amp; Resolve</t>
  </si>
  <si>
    <t xml:space="preserve">Used on 19052061.</t>
  </si>
  <si>
    <t xml:space="preserve">FR-REQ-05</t>
  </si>
  <si>
    <t xml:space="preserve">Bulk resolve with shared note</t>
  </si>
  <si>
    <t xml:space="preserve">'Add a response note…' then '1 request resolved.'</t>
  </si>
  <si>
    <t xml:space="preserve">FR-REQ-06</t>
  </si>
  <si>
    <t xml:space="preserve">Escalation routing (stay with agent)</t>
  </si>
  <si>
    <t xml:space="preserve">19085340 stayed Assigned to ARAgent1 (recommended option).</t>
  </si>
  <si>
    <t xml:space="preserve">FR-CIP-01</t>
  </si>
  <si>
    <t xml:space="preserve">CIP Internal</t>
  </si>
  <si>
    <t xml:space="preserve">Case record with rounds &amp; history</t>
  </si>
  <si>
    <t xml:space="preserve">Round 2, review notes, attachments per round.</t>
  </si>
  <si>
    <t xml:space="preserve">FR-CIP-02</t>
  </si>
  <si>
    <t xml:space="preserve">Stage counts &amp; columns incl. attachments</t>
  </si>
  <si>
    <t xml:space="preserve">Attachment download links per row.</t>
  </si>
  <si>
    <t xml:space="preserve">FR-CIP-03</t>
  </si>
  <si>
    <t xml:space="preserve">Review &amp; Approve / Reject; Review Response</t>
  </si>
  <si>
    <t xml:space="preserve">Approve &amp; Send, Reject — Return to Agent, Insufficient, Approve &amp; Return.</t>
  </si>
  <si>
    <t xml:space="preserve">FR-CIP-04</t>
  </si>
  <si>
    <t xml:space="preserve">Bulk approve / send back</t>
  </si>
  <si>
    <t xml:space="preserve">Bulk approve used on CIP-000005.</t>
  </si>
  <si>
    <t xml:space="preserve">FR-CIP-05</t>
  </si>
  <si>
    <t xml:space="preserve">Default sort by stage</t>
  </si>
  <si>
    <t xml:space="preserve">Client Responded first, then Pending, Sent, Returned.</t>
  </si>
  <si>
    <t xml:space="preserve">FR-CIP-06</t>
  </si>
  <si>
    <t xml:space="preserve">Claim CIP tab read-only with queue link</t>
  </si>
  <si>
    <t xml:space="preserve">FR-CIP-07</t>
  </si>
  <si>
    <t xml:space="preserve">CIP queue exportable</t>
  </si>
  <si>
    <t xml:space="preserve">Export present.</t>
  </si>
  <si>
    <t xml:space="preserve">FR-CLI-01</t>
  </si>
  <si>
    <t xml:space="preserve">Client Portal</t>
  </si>
  <si>
    <t xml:space="preserve">Viewer scope; never Pending Approval</t>
  </si>
  <si>
    <t xml:space="preserve">CIP-000001 hidden.</t>
  </si>
  <si>
    <t xml:space="preserve">FR-CLI-02</t>
  </si>
  <si>
    <t xml:space="preserve">Tiles</t>
  </si>
  <si>
    <t xml:space="preserve">Awaiting / Submitted / Resolved.</t>
  </si>
  <si>
    <t xml:space="preserve">FR-CLI-03</t>
  </si>
  <si>
    <t xml:space="preserve">Columns incl. Reviewer Feedback</t>
  </si>
  <si>
    <t xml:space="preserve">'Needs more info' + reason on Round 2.</t>
  </si>
  <si>
    <t xml:space="preserve">FR-CLI-04</t>
  </si>
  <si>
    <t xml:space="preserve">Respond: text required + attachments ≤15 MB</t>
  </si>
  <si>
    <t xml:space="preserve">16 MB rejected; 1 PDF accepted.</t>
  </si>
  <si>
    <t xml:space="preserve">FR-CLI-05</t>
  </si>
  <si>
    <t xml:space="preserve">Bulk CSV template download / upload</t>
  </si>
  <si>
    <t xml:space="preserve">Download / Upload Template present; upload not executed.</t>
  </si>
  <si>
    <t xml:space="preserve">FR-CLI-06</t>
  </si>
  <si>
    <t xml:space="preserve">Dashboard, Analytics, Reports scoped</t>
  </si>
  <si>
    <t xml:space="preserve">Clinic Viewer data = 7,300 claims.</t>
  </si>
  <si>
    <t xml:space="preserve">FR-ADJ-01</t>
  </si>
  <si>
    <t xml:space="preserve">Adjustments</t>
  </si>
  <si>
    <t xml:space="preserve">Eligibility by Auto-Adjust list</t>
  </si>
  <si>
    <t xml:space="preserve">Preview only for listed codes with open balance.</t>
  </si>
  <si>
    <t xml:space="preserve">FR-ADJ-02</t>
  </si>
  <si>
    <t xml:space="preserve">Trigger by admin / manager / lead with confirmation</t>
  </si>
  <si>
    <t xml:space="preserve">All three roles processed one claim each.</t>
  </si>
  <si>
    <t xml:space="preserve">FR-ADJ-03</t>
  </si>
  <si>
    <t xml:space="preserve">Remaining AR 0, system comment, Auto Adjustments queue</t>
  </si>
  <si>
    <t xml:space="preserve">Balance shown as $0.00 on Claim Detail and Work Queue; system comment; Auto Adjustments queue.</t>
  </si>
  <si>
    <t xml:space="preserve">DEF-20 fixed; OBS-26</t>
  </si>
  <si>
    <t xml:space="preserve">FR-ADJ-04</t>
  </si>
  <si>
    <t xml:space="preserve">Export + Mark as Posted</t>
  </si>
  <si>
    <t xml:space="preserve">Export via My Downloads; Mark as Posted (TL, agent).</t>
  </si>
  <si>
    <t xml:space="preserve">FR-ADJ-05</t>
  </si>
  <si>
    <t xml:space="preserve">Write-off loop; agent posts</t>
  </si>
  <si>
    <t xml:space="preserve">Agent marked 19521528 posted.</t>
  </si>
  <si>
    <t xml:space="preserve">FR-ADJ-06</t>
  </si>
  <si>
    <t xml:space="preserve">Re-appearance flag + notify agent &amp; manager</t>
  </si>
  <si>
    <t xml:space="preserve">3 claims flagged; agent and manager notifications.</t>
  </si>
  <si>
    <t xml:space="preserve">FR-AN-01</t>
  </si>
  <si>
    <t xml:space="preserve">Analytics</t>
  </si>
  <si>
    <t xml:space="preserve">KPI tiles</t>
  </si>
  <si>
    <t xml:space="preserve">FR-AN-02</t>
  </si>
  <si>
    <t xml:space="preserve">Recovered vs Outstanding by dimension</t>
  </si>
  <si>
    <t xml:space="preserve">Client, Payer, Panel, Category, Agent, AR Queue.</t>
  </si>
  <si>
    <t xml:space="preserve">FR-AN-03</t>
  </si>
  <si>
    <t xml:space="preserve">Follow-Up Comments Breakdown</t>
  </si>
  <si>
    <t xml:space="preserve">3 tabs, exportable.</t>
  </si>
  <si>
    <t xml:space="preserve">FR-AN-04</t>
  </si>
  <si>
    <t xml:space="preserve">(N) Breakdown by escalation / reassignment reason</t>
  </si>
  <si>
    <t xml:space="preserve">DEF-27</t>
  </si>
  <si>
    <t xml:space="preserve">FR-AN-05</t>
  </si>
  <si>
    <t xml:space="preserve">Scoped analytics</t>
  </si>
  <si>
    <t xml:space="preserve">Client viewers scoped.</t>
  </si>
  <si>
    <t xml:space="preserve">FR-RPT-01</t>
  </si>
  <si>
    <t xml:space="preserve">Reports</t>
  </si>
  <si>
    <t xml:space="preserve">Summary reports exportable</t>
  </si>
  <si>
    <t xml:space="preserve">5 summaries + export.</t>
  </si>
  <si>
    <t xml:space="preserve">FR-RPT-02</t>
  </si>
  <si>
    <t xml:space="preserve">AR Collections Progress with confidence tiers</t>
  </si>
  <si>
    <t xml:space="preserve">100/50/30% columns, Yet to Collect, Payments Posted.</t>
  </si>
  <si>
    <t xml:space="preserve">FR-RPT-03</t>
  </si>
  <si>
    <t xml:space="preserve">Complex client report (open item)</t>
  </si>
  <si>
    <t xml:space="preserve">Awaiting walkthrough.</t>
  </si>
  <si>
    <t xml:space="preserve">FR-RPT-04</t>
  </si>
  <si>
    <t xml:space="preserve">Client can generate &amp; export reports</t>
  </si>
  <si>
    <t xml:space="preserve">AccountManager: Reports + Export.</t>
  </si>
  <si>
    <t xml:space="preserve">FR-CM-01</t>
  </si>
  <si>
    <t xml:space="preserve">Client Mgmt</t>
  </si>
  <si>
    <t xml:space="preserve">Client cards</t>
  </si>
  <si>
    <t xml:space="preserve">Counts, AR, recovered, Deactivate.</t>
  </si>
  <si>
    <t xml:space="preserve">FR-CM-02</t>
  </si>
  <si>
    <t xml:space="preserve">Deactivate stops sync, retains data</t>
  </si>
  <si>
    <t xml:space="preserve">Not triggered (would affect test lab).</t>
  </si>
  <si>
    <t xml:space="preserve">FR-CM-03</t>
  </si>
  <si>
    <t xml:space="preserve">(N) Per-client SharePoint folder, onboarding status, account manager</t>
  </si>
  <si>
    <t xml:space="preserve">Not on client card.</t>
  </si>
  <si>
    <t xml:space="preserve">DEF-31</t>
  </si>
  <si>
    <t xml:space="preserve">FR-USR-01</t>
  </si>
  <si>
    <t xml:space="preserve">Users</t>
  </si>
  <si>
    <t xml:space="preserve">User list</t>
  </si>
  <si>
    <t xml:space="preserve">Incl. last login, status.</t>
  </si>
  <si>
    <t xml:space="preserve">OBS-22</t>
  </si>
  <si>
    <t xml:space="preserve">FR-USR-02</t>
  </si>
  <si>
    <t xml:space="preserve">Add/Edit with cascading scope pickers</t>
  </si>
  <si>
    <t xml:space="preserve">FR-USR-03</t>
  </si>
  <si>
    <t xml:space="preserve">(N) SSO, deactivate, hierarchy, permission audit</t>
  </si>
  <si>
    <t xml:space="preserve">Microsoft sign-in, Azure AD users, Deactivate, Manager/Team present; permission-change audit not verified.</t>
  </si>
  <si>
    <t xml:space="preserve">FR-AUD-01</t>
  </si>
  <si>
    <t xml:space="preserve">Audit</t>
  </si>
  <si>
    <t xml:space="preserve">Flattened immutable trail with filters &amp; export</t>
  </si>
  <si>
    <t xml:space="preserve">Filters User / Action / Client / dates; Export Excel.</t>
  </si>
  <si>
    <t xml:space="preserve">FR-AUD-02</t>
  </si>
  <si>
    <t xml:space="preserve">Every state change incl. sync-driven</t>
  </si>
  <si>
    <t xml:space="preserve">Sync 'Denial Code Changed', 'Source Data Updated', 'Adjustment Not Posted', CIP, QA, assignments.</t>
  </si>
  <si>
    <t xml:space="preserve">FR-SET-01</t>
  </si>
  <si>
    <t xml:space="preserve">Settings</t>
  </si>
  <si>
    <t xml:space="preserve">Chip lists with CSV template / upload</t>
  </si>
  <si>
    <t xml:space="preserve">Workbench Lists: Add / Deactivate only (no CSV round-trip); Import/Export Excel on code master &amp; category map.</t>
  </si>
  <si>
    <t xml:space="preserve">DEF-28</t>
  </si>
  <si>
    <t xml:space="preserve">FR-SET-02</t>
  </si>
  <si>
    <t xml:space="preserve">Changes take effect immediately; audited</t>
  </si>
  <si>
    <t xml:space="preserve">Lists not changed during retest.</t>
  </si>
  <si>
    <t xml:space="preserve">FR-SET-03</t>
  </si>
  <si>
    <t xml:space="preserve">Removing a category doesn't rewrite claims</t>
  </si>
  <si>
    <t xml:space="preserve">FR-UI-01</t>
  </si>
  <si>
    <t xml:space="preserve">Shared UI</t>
  </si>
  <si>
    <t xml:space="preserve">Shared grid: paging 10/25/50/100, eligibility checkboxes</t>
  </si>
  <si>
    <t xml:space="preserve">Paging 50/100/500/1,000; ineligible QA row has checkbox.</t>
  </si>
  <si>
    <t xml:space="preserve">FR-UI-02</t>
  </si>
  <si>
    <t xml:space="preserve">Multi-select filters with All</t>
  </si>
  <si>
    <t xml:space="preserve">FR-UI-03</t>
  </si>
  <si>
    <t xml:space="preserve">Confirmation with counts &amp; $ before bulk actions</t>
  </si>
  <si>
    <t xml:space="preserve">QA, CIP, Requests, Auto-Adjust dialogs.</t>
  </si>
  <si>
    <t xml:space="preserve">FR-UI-04</t>
  </si>
  <si>
    <t xml:space="preserve">Saved views server-persisted</t>
  </si>
  <si>
    <t xml:space="preserve">saved-views API.</t>
  </si>
  <si>
    <t xml:space="preserve">FR-UI-05</t>
  </si>
  <si>
    <t xml:space="preserve">Real file exports</t>
  </si>
  <si>
    <t xml:space="preserve">Background exports to My Downloads (.xlsx, kept 7 days).</t>
  </si>
  <si>
    <t xml:space="preserve">FR-UI-06</t>
  </si>
  <si>
    <t xml:space="preserve">Money / date formats</t>
  </si>
  <si>
    <t xml:space="preserve">$#,##0.00; 'Oct 19, 2026'.</t>
  </si>
  <si>
    <t xml:space="preserve">FR-XL-01</t>
  </si>
  <si>
    <t xml:space="preserve">Excel</t>
  </si>
  <si>
    <t xml:space="preserve">Export from any queue</t>
  </si>
  <si>
    <t xml:space="preserve">Export Filtered / All / Excel on queues.</t>
  </si>
  <si>
    <t xml:space="preserve">FR-XL-02</t>
  </si>
  <si>
    <t xml:space="preserve">Bulk status upload with validation</t>
  </si>
  <si>
    <t xml:space="preserve">Template present; upload not run.</t>
  </si>
  <si>
    <t xml:space="preserve">FR-XL-03</t>
  </si>
  <si>
    <t xml:space="preserve">Account Manager / Client export of line items &amp; status</t>
  </si>
  <si>
    <t xml:space="preserve">Client users have no claim / line-item export (Work Queue blocked).</t>
  </si>
  <si>
    <t xml:space="preserve">FR-DOC-01</t>
  </si>
  <si>
    <t xml:space="preserve">Documents</t>
  </si>
  <si>
    <t xml:space="preserve">Attachments on follow-ups &amp; CIP, categorised, 10–15 MB</t>
  </si>
  <si>
    <t xml:space="preserve">Follow-up: category required, 5 × 15 MB; CIP response auto-categorised 'CIP Response'.</t>
  </si>
  <si>
    <t xml:space="preserve">FR-DOC-02</t>
  </si>
  <si>
    <t xml:space="preserve">Azure Blob private, signed URLs; metadata in SQL</t>
  </si>
  <si>
    <t xml:space="preserve">Infra review.</t>
  </si>
  <si>
    <t xml:space="preserve">FR-DOC-03</t>
  </si>
  <si>
    <t xml:space="preserve">Document Vault search, scoped</t>
  </si>
  <si>
    <t xml:space="preserve">Clinic Viewer sees only own-clinic CIP files; internal follow-up attachment hidden.</t>
  </si>
  <si>
    <t xml:space="preserve">FR-DOC-04</t>
  </si>
  <si>
    <t xml:space="preserve">Download / view audited</t>
  </si>
  <si>
    <t xml:space="preserve">Not verified.</t>
  </si>
  <si>
    <t xml:space="preserve">FR-SYNC-01</t>
  </si>
  <si>
    <t xml:space="preserve">Re-Sync</t>
  </si>
  <si>
    <t xml:space="preserve">Section 5 scenarios; audited</t>
  </si>
  <si>
    <t xml:space="preserve">Not-posted, closed-on-sync and denial-change audits observed.</t>
  </si>
  <si>
    <t xml:space="preserve">FR-SYNC-02</t>
  </si>
  <si>
    <t xml:space="preserve">previousPrimaryDenialCode / newDenialSinceWork</t>
  </si>
  <si>
    <t xml:space="preserve">Fields populated (e.g., 19538684 prev 58); New Denials path not yet triggered.</t>
  </si>
  <si>
    <t xml:space="preserve">FR-SYNC-03</t>
  </si>
  <si>
    <t xml:space="preserve">Idempotent; never overwrites workflow fields</t>
  </si>
  <si>
    <t xml:space="preserve">#</t>
  </si>
  <si>
    <t xml:space="preserve">Topic</t>
  </si>
  <si>
    <t xml:space="preserve">Build this (decision)</t>
  </si>
  <si>
    <t xml:space="preserve">Evidence</t>
  </si>
  <si>
    <t xml:space="preserve">Data synced</t>
  </si>
  <si>
    <t xml:space="preserve">Full master synced; all claims classified</t>
  </si>
  <si>
    <t xml:space="preserve">84,494 claims classified.</t>
  </si>
  <si>
    <t xml:space="preserve">Non-Responded rule</t>
  </si>
  <si>
    <t xml:space="preserve">Whole balance in insurance; no payment/denial/adjustment</t>
  </si>
  <si>
    <t xml:space="preserve">0 exceptions.</t>
  </si>
  <si>
    <t xml:space="preserve">Non-collectible test</t>
  </si>
  <si>
    <t xml:space="preserve">Primary code only</t>
  </si>
  <si>
    <t xml:space="preserve">NC split matches first code.</t>
  </si>
  <si>
    <t xml:space="preserve">Code format</t>
  </si>
  <si>
    <t xml:space="preserve">Strip CO/PR/PI/OA; keep RARC letters</t>
  </si>
  <si>
    <t xml:space="preserve">RARC not testable (no data).</t>
  </si>
  <si>
    <t xml:space="preserve">Insight grouping</t>
  </si>
  <si>
    <t xml:space="preserve">Primary code; unassigned open only</t>
  </si>
  <si>
    <t xml:space="preserve">216 recompute matches.</t>
  </si>
  <si>
    <t xml:space="preserve">Next follow-up default</t>
  </si>
  <si>
    <t xml:space="preserve">+45 days</t>
  </si>
  <si>
    <t xml:space="preserve">03 Dec on 19 Oct.</t>
  </si>
  <si>
    <t xml:space="preserve">Re-Follow-Up queue</t>
  </si>
  <si>
    <t xml:space="preserve">Two sub-queues</t>
  </si>
  <si>
    <t xml:space="preserve">Unresolved / New Denials exist.</t>
  </si>
  <si>
    <t xml:space="preserve">Auto adjustment result</t>
  </si>
  <si>
    <t xml:space="preserve">Auto Adjustments queue + export + posted confirmation</t>
  </si>
  <si>
    <t xml:space="preserve">Mark as Posted; re-appearance flag.</t>
  </si>
  <si>
    <t xml:space="preserve">Write-off</t>
  </si>
  <si>
    <t xml:space="preserve">QA → Pending Posting → agent posts</t>
  </si>
  <si>
    <t xml:space="preserve">Agent posted 19521528.</t>
  </si>
  <si>
    <t xml:space="preserve">CIP case creation</t>
  </si>
  <si>
    <t xml:space="preserve">Visible only after QA approval</t>
  </si>
  <si>
    <t xml:space="preserve">Pending Approval after QA.</t>
  </si>
  <si>
    <t xml:space="preserve">Revenue Expectation</t>
  </si>
  <si>
    <t xml:space="preserve">Medicare-rate allowable; 0 if unavailable</t>
  </si>
  <si>
    <t xml:space="preserve">Rate applied to collectible Denied / No Response lines only (rule clarified by RSKP; see OBS-27).</t>
  </si>
  <si>
    <t xml:space="preserve">Potential Recovery</t>
  </si>
  <si>
    <t xml:space="preserve">RevExp − (Ins + Pt Pmt + Pt Bal)</t>
  </si>
  <si>
    <t xml:space="preserve">141/141.</t>
  </si>
  <si>
    <t xml:space="preserve">Recovery Status values</t>
  </si>
  <si>
    <t xml:space="preserve">Four session values</t>
  </si>
  <si>
    <t xml:space="preserve">Values correct, assignment wrong for Patient AR (DEF-22).</t>
  </si>
  <si>
    <t xml:space="preserve">Recovered amount</t>
  </si>
  <si>
    <t xml:space="preserve">Insurance payments after denial date</t>
  </si>
  <si>
    <t xml:space="preserve">Definition updated.</t>
  </si>
  <si>
    <t xml:space="preserve">Escalate to Supervisor</t>
  </si>
  <si>
    <t xml:space="preserve">Request to TL + Manager</t>
  </si>
  <si>
    <t xml:space="preserve">Claim stays with agent.</t>
  </si>
  <si>
    <t xml:space="preserve">Reason categories</t>
  </si>
  <si>
    <t xml:space="preserve">Dropdown + text</t>
  </si>
  <si>
    <t xml:space="preserve">Mandatory.</t>
  </si>
  <si>
    <t xml:space="preserve">All follow-ups + CIP; 10–15 MB; categorised; Vault</t>
  </si>
  <si>
    <t xml:space="preserve">Built.</t>
  </si>
  <si>
    <t xml:space="preserve">Self-approval</t>
  </si>
  <si>
    <t xml:space="preserve">Blocked for every user</t>
  </si>
  <si>
    <t xml:space="preserve">409 for Team Lead.</t>
  </si>
  <si>
    <t xml:space="preserve">Lead approval rights</t>
  </si>
  <si>
    <t xml:space="preserve">Lead may approve CIPs</t>
  </si>
  <si>
    <t xml:space="preserve">TeamLead approved CIP-000004/5.</t>
  </si>
  <si>
    <t xml:space="preserve">Persistence</t>
  </si>
  <si>
    <t xml:space="preserve">Server DB; all actions audited</t>
  </si>
  <si>
    <t xml:space="preserve">Batches, views, audit persisted.</t>
  </si>
  <si>
    <t xml:space="preserve">Exports</t>
  </si>
  <si>
    <t xml:space="preserve">Real CSV/XLSX downloads</t>
  </si>
  <si>
    <t xml:space="preserve">My Downloads.</t>
  </si>
  <si>
    <t xml:space="preserve">Line-level denials</t>
  </si>
  <si>
    <t xml:space="preserve">Expandable per-CPT detail</t>
  </si>
  <si>
    <t xml:space="preserve">Expand per CPT.</t>
  </si>
  <si>
    <t xml:space="preserve">ID</t>
  </si>
  <si>
    <t xml:space="preserve">Requirement</t>
  </si>
  <si>
    <t xml:space="preserve">NFR-01</t>
  </si>
  <si>
    <t xml:space="preserve">Security: role &amp; scope enforced server-side</t>
  </si>
  <si>
    <t xml:space="preserve">Agent / QA / Client probes return 403/404 or scoped data; DEF-15 &amp; DEF-16 fixed.</t>
  </si>
  <si>
    <t xml:space="preserve">NFR-02</t>
  </si>
  <si>
    <t xml:space="preserve">HIPAA: encryption, signed URLs, download audit, timeout</t>
  </si>
  <si>
    <t xml:space="preserve">Infra review required.</t>
  </si>
  <si>
    <t xml:space="preserve">NFR-03</t>
  </si>
  <si>
    <t xml:space="preserve">Audit append-only</t>
  </si>
  <si>
    <t xml:space="preserve">No edit/delete function exposed in UI; DB-level not verified.</t>
  </si>
  <si>
    <t xml:space="preserve">NFR-04</t>
  </si>
  <si>
    <t xml:space="preserve">Multi-tenancy by lab</t>
  </si>
  <si>
    <t xml:space="preserve">Single test lab available.</t>
  </si>
  <si>
    <t xml:space="preserve">NFR-05</t>
  </si>
  <si>
    <t xml:space="preserve">Performance: server-side paging/filters</t>
  </si>
  <si>
    <t xml:space="preserve">All grids page server-side; 1,000-row pages return &lt; 1 s.</t>
  </si>
  <si>
    <t xml:space="preserve">NFR-06</t>
  </si>
  <si>
    <t xml:space="preserve">Idempotent, recoverable sync</t>
  </si>
  <si>
    <t xml:space="preserve">Sync not triggered by tester.</t>
  </si>
  <si>
    <t xml:space="preserve">NFR-07</t>
  </si>
  <si>
    <t xml:space="preserve">One shared predicate implementation</t>
  </si>
  <si>
    <t xml:space="preserve">Badges = lists = dashboard (7,218).</t>
  </si>
  <si>
    <t xml:space="preserve">NFR-08</t>
  </si>
  <si>
    <t xml:space="preserve">Export formula-injection protection</t>
  </si>
  <si>
    <t xml:space="preserve">NFR-09</t>
  </si>
  <si>
    <t xml:space="preserve">Automated tests per module</t>
  </si>
  <si>
    <t xml:space="preserve">Process requirement.</t>
  </si>
  <si>
    <t xml:space="preserve">Step ID</t>
  </si>
  <si>
    <t xml:space="preserve">Role</t>
  </si>
  <si>
    <t xml:space="preserve">Login</t>
  </si>
  <si>
    <t xml:space="preserve">Scenario / Requirement</t>
  </si>
  <si>
    <t xml:space="preserve">Claim(s)</t>
  </si>
  <si>
    <t xml:space="preserve">Action Performed</t>
  </si>
  <si>
    <t xml:space="preserve">Actual Result</t>
  </si>
  <si>
    <t xml:space="preserve">Defect Ref</t>
  </si>
  <si>
    <t xml:space="preserve">RW2-01</t>
  </si>
  <si>
    <t xml:space="preserve">System Administrator</t>
  </si>
  <si>
    <t xml:space="preserve">ARWBInhealthSA</t>
  </si>
  <si>
    <t xml:space="preserve">Assign 7 claims with due date (§8.5)</t>
  </si>
  <si>
    <t xml:space="preserve">19514348, 19510576, 19518771, 19521746, 19085340, 19052061, 19375256</t>
  </si>
  <si>
    <t xml:space="preserve">Assign → ARAgent1, due 23 Oct</t>
  </si>
  <si>
    <t xml:space="preserve">Assigned</t>
  </si>
  <si>
    <t xml:space="preserve">'7 assigned — ARAgent1.'</t>
  </si>
  <si>
    <t xml:space="preserve">RW2-02</t>
  </si>
  <si>
    <t xml:space="preserve">Ad-hoc assignment of Closed claim (FR-ARQ-04)</t>
  </si>
  <si>
    <t xml:space="preserve">18954330</t>
  </si>
  <si>
    <t xml:space="preserve">Assign → ARAgent3</t>
  </si>
  <si>
    <t xml:space="preserve">Flag adHoc + audit</t>
  </si>
  <si>
    <t xml:space="preserve">AdHocFollowUpAssigned = true; audit 'Ad-Hoc Assignment'</t>
  </si>
  <si>
    <t xml:space="preserve">RW2-03</t>
  </si>
  <si>
    <t xml:space="preserve">Auto adjustment (§6)</t>
  </si>
  <si>
    <t xml:space="preserve">19497919</t>
  </si>
  <si>
    <t xml:space="preserve">Preview → Process</t>
  </si>
  <si>
    <t xml:space="preserve">Auto Adjustments; balance nullified</t>
  </si>
  <si>
    <t xml:space="preserve">Queue + system comment; Claim Detail &amp; Work Queue show Ins. Balance $0.00 (Adjustments $228.86)</t>
  </si>
  <si>
    <t xml:space="preserve">DEF-20 fixed</t>
  </si>
  <si>
    <t xml:space="preserve">RW2-04</t>
  </si>
  <si>
    <t xml:space="preserve">Re-sync scenarios (§5)</t>
  </si>
  <si>
    <t xml:space="preserve">19510788, 19122637, 19521528, 19538684</t>
  </si>
  <si>
    <t xml:space="preserve">Inspect after 16–18 Oct syncs</t>
  </si>
  <si>
    <t xml:space="preserve">Not-posted flagged; closed claims closed</t>
  </si>
  <si>
    <t xml:space="preserve">All three flagged 'Adjustment Not Posted' &amp; returned; 19538684 → Closed – Fully Adjusted with audit</t>
  </si>
  <si>
    <t xml:space="preserve">RW2-05</t>
  </si>
  <si>
    <t xml:space="preserve">AR Agent</t>
  </si>
  <si>
    <t xml:space="preserve">ARAgent1</t>
  </si>
  <si>
    <t xml:space="preserve">Scope &amp; permissions (FR-ACC-05)</t>
  </si>
  <si>
    <t xml:space="preserve">Probe claims / NC / other claim / assign</t>
  </si>
  <si>
    <t xml:space="preserve">Own claims only</t>
  </si>
  <si>
    <t xml:space="preserve">23 claims; NC 0; other 404; assign 403</t>
  </si>
  <si>
    <t xml:space="preserve">RW2-06</t>
  </si>
  <si>
    <t xml:space="preserve">Mark approved write-off as posted (§8.3)</t>
  </si>
  <si>
    <t xml:space="preserve">19521528</t>
  </si>
  <si>
    <t xml:space="preserve">Mark as Posted</t>
  </si>
  <si>
    <t xml:space="preserve">Allowed</t>
  </si>
  <si>
    <t xml:space="preserve">API 200 '1 claim(s) marked as posted'</t>
  </si>
  <si>
    <t xml:space="preserve">RW2-07</t>
  </si>
  <si>
    <t xml:space="preserve">Re-sync notification to agent (§5)</t>
  </si>
  <si>
    <t xml:space="preserve">Read notifications</t>
  </si>
  <si>
    <t xml:space="preserve">AdjustmentNotPosted</t>
  </si>
  <si>
    <t xml:space="preserve">Notification received</t>
  </si>
  <si>
    <t xml:space="preserve">RW2-08</t>
  </si>
  <si>
    <t xml:space="preserve">Follow-up with attachment (§8.2)</t>
  </si>
  <si>
    <t xml:space="preserve">19514348</t>
  </si>
  <si>
    <t xml:space="preserve">Attach 16 MB + PDF; save without category; fix</t>
  </si>
  <si>
    <t xml:space="preserve">Category required; 16 MB rejected; save</t>
  </si>
  <si>
    <t xml:space="preserve">'choose a document category'; 'larger than 15 MB'; saved with 1 document</t>
  </si>
  <si>
    <t xml:space="preserve">RW2-09</t>
  </si>
  <si>
    <t xml:space="preserve">Notes → QA (resubmit, write-off, 2 CIPs)</t>
  </si>
  <si>
    <t xml:space="preserve">19510576, 19518771, 19521746, 19375256</t>
  </si>
  <si>
    <t xml:space="preserve">Log notes</t>
  </si>
  <si>
    <t xml:space="preserve">Submitted for QA; CIP after QA</t>
  </si>
  <si>
    <t xml:space="preserve">All routed to QA</t>
  </si>
  <si>
    <t xml:space="preserve">RW2-10</t>
  </si>
  <si>
    <t xml:space="preserve">Escalate / Reassignment with reason (§8.4)</t>
  </si>
  <si>
    <t xml:space="preserve">19085340, 19052061</t>
  </si>
  <si>
    <t xml:space="preserve">Submit without then with reason</t>
  </si>
  <si>
    <t xml:space="preserve">Reason mandatory; claim stays</t>
  </si>
  <si>
    <t xml:space="preserve">'Choose a reason.'; both raised; claim stays Assigned</t>
  </si>
  <si>
    <t xml:space="preserve">RW2-11</t>
  </si>
  <si>
    <t xml:space="preserve">My Work tiles (FR-MW-02)</t>
  </si>
  <si>
    <t xml:space="preserve">Review tiles</t>
  </si>
  <si>
    <t xml:space="preserve">Incl. Pending Posting &amp; New Denials</t>
  </si>
  <si>
    <t xml:space="preserve">Two new tiles missing</t>
  </si>
  <si>
    <t xml:space="preserve">RW2-12</t>
  </si>
  <si>
    <t xml:space="preserve">QA Reviewer</t>
  </si>
  <si>
    <t xml:space="preserve">QA1</t>
  </si>
  <si>
    <t xml:space="preserve">QA data scope (§3.2, NFR-01)</t>
  </si>
  <si>
    <t xml:space="preserve">Probe claims / NC API</t>
  </si>
  <si>
    <t xml:space="preserve">No restricted queues</t>
  </si>
  <si>
    <t xml:space="preserve">7,416 open priority claims; NC 0</t>
  </si>
  <si>
    <t xml:space="preserve">RW2-13</t>
  </si>
  <si>
    <t xml:space="preserve">Reject requires note → same agent</t>
  </si>
  <si>
    <t xml:space="preserve">19510576</t>
  </si>
  <si>
    <t xml:space="preserve">Reject without / with note</t>
  </si>
  <si>
    <t xml:space="preserve">Note required; QA Rejected</t>
  </si>
  <si>
    <t xml:space="preserve">'Add a note…'; returned to ARAgent1</t>
  </si>
  <si>
    <t xml:space="preserve">RW2-14</t>
  </si>
  <si>
    <t xml:space="preserve">Approve with attachment visible in Vault</t>
  </si>
  <si>
    <t xml:space="preserve">Approve; open Document Vault</t>
  </si>
  <si>
    <t xml:space="preserve">Completed; doc listed</t>
  </si>
  <si>
    <t xml:space="preserve">Completed; 'UAT_appeal_letter…' category Appeal</t>
  </si>
  <si>
    <t xml:space="preserve">RW2-15</t>
  </si>
  <si>
    <t xml:space="preserve">Bulk approve summary (FR-QA-06)</t>
  </si>
  <si>
    <t xml:space="preserve">19518771, 19521746, 19375256</t>
  </si>
  <si>
    <t xml:space="preserve">Approve Selected</t>
  </si>
  <si>
    <t xml:space="preserve">Counts CIP / write-off</t>
  </si>
  <si>
    <t xml:space="preserve">'2 … CIP … 1 … Write Offs'; toast '3 approved · 2 CIP … · 1 write-off'</t>
  </si>
  <si>
    <t xml:space="preserve">RW2-16</t>
  </si>
  <si>
    <t xml:space="preserve">Team Lead</t>
  </si>
  <si>
    <t xml:space="preserve">TeamLead</t>
  </si>
  <si>
    <t xml:space="preserve">Self-approval block (FR-QA-03)</t>
  </si>
  <si>
    <t xml:space="preserve">19146652</t>
  </si>
  <si>
    <t xml:space="preserve">Log own note; try approve UI &amp; API</t>
  </si>
  <si>
    <t xml:space="preserve">Row shows Review only; API 409; checkbox still shown</t>
  </si>
  <si>
    <t xml:space="preserve">RW2-17</t>
  </si>
  <si>
    <t xml:space="preserve">CIP approval single &amp; bulk (§9.1)</t>
  </si>
  <si>
    <t xml:space="preserve">19521746, 19375256</t>
  </si>
  <si>
    <t xml:space="preserve">Approve &amp; Send; Bulk Approve</t>
  </si>
  <si>
    <t xml:space="preserve">Sent to Client</t>
  </si>
  <si>
    <t xml:space="preserve">'CIP-000004 approved'; '1 sent to the client.'</t>
  </si>
  <si>
    <t xml:space="preserve">RW2-18</t>
  </si>
  <si>
    <t xml:space="preserve">Bulk resolve escalation (FR-REQ-05)</t>
  </si>
  <si>
    <t xml:space="preserve">19085340</t>
  </si>
  <si>
    <t xml:space="preserve">Resolve Selected without / with note</t>
  </si>
  <si>
    <t xml:space="preserve">Note required</t>
  </si>
  <si>
    <t xml:space="preserve">'Add a response note…'; '1 request resolved.'</t>
  </si>
  <si>
    <t xml:space="preserve">RW2-19</t>
  </si>
  <si>
    <t xml:space="preserve">Reassign &amp; Resolve</t>
  </si>
  <si>
    <t xml:space="preserve">19052061</t>
  </si>
  <si>
    <t xml:space="preserve">Respond → Reassign &amp; Resolve → ARAgent3</t>
  </si>
  <si>
    <t xml:space="preserve">Reassigned; request resolved</t>
  </si>
  <si>
    <t xml:space="preserve">Done; 'Resolved by reassigning to ARAgent3.'</t>
  </si>
  <si>
    <t xml:space="preserve">RW2-20</t>
  </si>
  <si>
    <t xml:space="preserve">Auto-adjust &amp; access</t>
  </si>
  <si>
    <t xml:space="preserve">19492367</t>
  </si>
  <si>
    <t xml:space="preserve">Process; probe masters / audit</t>
  </si>
  <si>
    <t xml:space="preserve">Allowed; masters &amp; audit blocked</t>
  </si>
  <si>
    <t xml:space="preserve">Processed $4.66; masters 403; audit 403; NC 248 visible</t>
  </si>
  <si>
    <t xml:space="preserve">RW2-21</t>
  </si>
  <si>
    <t xml:space="preserve">Clinic Viewer</t>
  </si>
  <si>
    <t xml:space="preserve">ClinicViewer (Insight Family Practice)</t>
  </si>
  <si>
    <t xml:space="preserve">No internal notes (§9.2)</t>
  </si>
  <si>
    <t xml:space="preserve">19521746, 19524452</t>
  </si>
  <si>
    <t xml:space="preserve">Open claim page &amp; API</t>
  </si>
  <si>
    <t xml:space="preserve">Hidden</t>
  </si>
  <si>
    <t xml:space="preserve">Tabs Overview/CPT/Denial/Documents only; API clean</t>
  </si>
  <si>
    <t xml:space="preserve">RW2-22</t>
  </si>
  <si>
    <t xml:space="preserve">Scope (§10.1)</t>
  </si>
  <si>
    <t xml:space="preserve">19375256</t>
  </si>
  <si>
    <t xml:space="preserve">Open other-clinic claim; count data</t>
  </si>
  <si>
    <t xml:space="preserve">Own clinic only</t>
  </si>
  <si>
    <t xml:space="preserve">404; 7,300 claims</t>
  </si>
  <si>
    <t xml:space="preserve">RW2-23</t>
  </si>
  <si>
    <t xml:space="preserve">Respond with attachment (§9.1)</t>
  </si>
  <si>
    <t xml:space="preserve">19521746</t>
  </si>
  <si>
    <t xml:space="preserve">16 MB then PDF + text</t>
  </si>
  <si>
    <t xml:space="preserve">Respond allowed</t>
  </si>
  <si>
    <t xml:space="preserve">16 MB rejected; 'Response submitted… 1 attachment(s)'</t>
  </si>
  <si>
    <t xml:space="preserve">RW2-24</t>
  </si>
  <si>
    <t xml:space="preserve">RCM Manager</t>
  </si>
  <si>
    <t xml:space="preserve">RCMManager</t>
  </si>
  <si>
    <t xml:space="preserve">Maintain NC / Auto-Adjust lists (§10)</t>
  </si>
  <si>
    <t xml:space="preserve">Open Workbench Lists</t>
  </si>
  <si>
    <t xml:space="preserve">NC + Auto-Adjust lists editable; API 200</t>
  </si>
  <si>
    <t xml:space="preserve">RW2-25</t>
  </si>
  <si>
    <t xml:space="preserve">Queue after client response (§3.1)</t>
  </si>
  <si>
    <t xml:space="preserve">Inspect claim</t>
  </si>
  <si>
    <t xml:space="preserve">CIP Response Received</t>
  </si>
  <si>
    <t xml:space="preserve">cipresponse</t>
  </si>
  <si>
    <t xml:space="preserve">RW2-26</t>
  </si>
  <si>
    <t xml:space="preserve">Insufficient → Round 2</t>
  </si>
  <si>
    <t xml:space="preserve">Review Response › Insufficient</t>
  </si>
  <si>
    <t xml:space="preserve">Re-sent with note</t>
  </si>
  <si>
    <t xml:space="preserve">'marked insufficient - re-sent… (next round)'</t>
  </si>
  <si>
    <t xml:space="preserve">RW2-27</t>
  </si>
  <si>
    <t xml:space="preserve">Status Change Verification</t>
  </si>
  <si>
    <t xml:space="preserve">19580937</t>
  </si>
  <si>
    <t xml:space="preserve">Select › Complete</t>
  </si>
  <si>
    <t xml:space="preserve">Closed</t>
  </si>
  <si>
    <t xml:space="preserve">Completed → Closed – Fully Adjusted</t>
  </si>
  <si>
    <t xml:space="preserve">RW2-28</t>
  </si>
  <si>
    <t xml:space="preserve">Client Viewer</t>
  </si>
  <si>
    <t xml:space="preserve">AccountManager</t>
  </si>
  <si>
    <t xml:space="preserve">Round-2 and new responses</t>
  </si>
  <si>
    <t xml:space="preserve">Respond with PDFs</t>
  </si>
  <si>
    <t xml:space="preserve">Accepted</t>
  </si>
  <si>
    <t xml:space="preserve">Both submitted with attachments; Round 2 feedback shown</t>
  </si>
  <si>
    <t xml:space="preserve">RW2-29</t>
  </si>
  <si>
    <t xml:space="preserve">Reports export / Work Queue (FR-RPT-04, FR-XL-03)</t>
  </si>
  <si>
    <t xml:space="preserve">Open Reports, Work Queue</t>
  </si>
  <si>
    <t xml:space="preserve">Reports export; line-item export</t>
  </si>
  <si>
    <t xml:space="preserve">Reports export OK; no line-item export</t>
  </si>
  <si>
    <t xml:space="preserve">RW2-30</t>
  </si>
  <si>
    <t xml:space="preserve">Approve &amp; Return to Agent (AT-13)</t>
  </si>
  <si>
    <t xml:space="preserve">Review Response › Approve &amp; Return</t>
  </si>
  <si>
    <t xml:space="preserve">Back to ARAgent1</t>
  </si>
  <si>
    <t xml:space="preserve">Both Assigned to ARAgent1, queue CIP Response Received</t>
  </si>
  <si>
    <t xml:space="preserve">RW2-31</t>
  </si>
  <si>
    <t xml:space="preserve">Manager auto-adjust (FR-ADJ-02)</t>
  </si>
  <si>
    <t xml:space="preserve">19491057</t>
  </si>
  <si>
    <t xml:space="preserve">Process</t>
  </si>
  <si>
    <t xml:space="preserve">'1 claim(s) totaling $4.66 …'</t>
  </si>
  <si>
    <t xml:space="preserve">Defect ID</t>
  </si>
  <si>
    <t xml:space="preserve">Linked Test / Req</t>
  </si>
  <si>
    <t xml:space="preserve">Area</t>
  </si>
  <si>
    <t xml:space="preserve">Severity</t>
  </si>
  <si>
    <t xml:space="preserve">Description</t>
  </si>
  <si>
    <t xml:space="preserve">Status 15 Oct</t>
  </si>
  <si>
    <t xml:space="preserve">Retest Status 19 Oct</t>
  </si>
  <si>
    <t xml:space="preserve">Retest Note</t>
  </si>
  <si>
    <t xml:space="preserve">DEF-01</t>
  </si>
  <si>
    <t xml:space="preserve">Dashboard insights panel does not show the current week's uploaded Key Observations; shows system-generated top-5 list instead (216, 252, 31, 27, 96) while Data Processing current week shows only CO-216.</t>
  </si>
  <si>
    <t xml:space="preserve">Verified in 19 Oct retest.</t>
  </si>
  <si>
    <t xml:space="preserve">DEF-02</t>
  </si>
  <si>
    <t xml:space="preserve">TC-004, TC-005</t>
  </si>
  <si>
    <t xml:space="preserve">Dashboard / Data Processing</t>
  </si>
  <si>
    <t xml:space="preserve">Denial code Description shows '—' on Dashboard and on system-generated insight rows although the Denial Code Master holds descriptions (e.g., 216).</t>
  </si>
  <si>
    <t xml:space="preserve">DEF-03</t>
  </si>
  <si>
    <t xml:space="preserve">Claim Detail &gt; Denial Info</t>
  </si>
  <si>
    <t xml:space="preserve">Denial Reason and 'All Denial Codes' empty for claim with curated 'CO11, CO252'; 'Line-Level Codes' renders '11252' (codes concatenated without separator).</t>
  </si>
  <si>
    <t xml:space="preserve">DEF-04</t>
  </si>
  <si>
    <t xml:space="preserve">Claim Detail &gt; CPT / Line Detail</t>
  </si>
  <si>
    <t xml:space="preserve">No per-CPT expand control; line denial sub-row lacks description and classification (only on Denial Info tab).</t>
  </si>
  <si>
    <t xml:space="preserve">DEF-05</t>
  </si>
  <si>
    <t xml:space="preserve">Work Queue feed</t>
  </si>
  <si>
    <t xml:space="preserve">Work-queue feed / nav badge (9,054) includes Non-Collectible (759) and Unbilled (1,102) claims; spec limits auto-feed to the 4 Possible Collectible queues (7,193).</t>
  </si>
  <si>
    <t xml:space="preserve">DEF-06</t>
  </si>
  <si>
    <t xml:space="preserve">Dashboard KPI</t>
  </si>
  <si>
    <t xml:space="preserve">'Claims Awaiting Assignment' (83,986) counts every unassigned claim incl. Closed and Patient AR; should count only open Possible Collectible claims.</t>
  </si>
  <si>
    <t xml:space="preserve">DEF-07</t>
  </si>
  <si>
    <t xml:space="preserve">Two conflicting Non-Collectible sources: Workbench list (197, 242, 257, 288, 27, 31) vs Denial Code Master flags (29, 119, 193, 197, 204, 242, 243, 279). Queue engine uses Workbench list; 204/29 etc. treated as collectible.</t>
  </si>
  <si>
    <t xml:space="preserve">Queues use one NC list correctly (284 claims validated 20 Oct: 24/24 Non-Collectible, incl. 19460085 &amp; 19385515). Residual: code 284 has no row in the Denial Code Master — tracked as OBS-28, not a classification defect.</t>
  </si>
  <si>
    <t xml:space="preserve">DEF-08</t>
  </si>
  <si>
    <t xml:space="preserve">TC-023, TC-064</t>
  </si>
  <si>
    <t xml:space="preserve">RCM Manager cannot maintain NC / Auto-Adjust lists — Master Values is admin-only.</t>
  </si>
  <si>
    <t xml:space="preserve">DEF-09</t>
  </si>
  <si>
    <t xml:space="preserve">Denial categorization</t>
  </si>
  <si>
    <t xml:space="preserve">50 primary denial codes unmapped (incl. 216 – 1,708 claims / $594.6K); 48% of denied claims categorised 'Other'. Dependent on open item #2.</t>
  </si>
  <si>
    <t xml:space="preserve">Open – dependency</t>
  </si>
  <si>
    <t xml:space="preserve">1 unmapped code remains (CO17, 2 claims).</t>
  </si>
  <si>
    <t xml:space="preserve">DEF-10</t>
  </si>
  <si>
    <t xml:space="preserve">Work Queue grid</t>
  </si>
  <si>
    <t xml:space="preserve">Column header still 'Expected Payment'; should read 'Revenue Expectation'.</t>
  </si>
  <si>
    <t xml:space="preserve">DEF-11</t>
  </si>
  <si>
    <t xml:space="preserve">TC-042, TC-043, TC-044</t>
  </si>
  <si>
    <t xml:space="preserve">Financial fields</t>
  </si>
  <si>
    <t xml:space="preserve">Revenue Expectation = $0 on all claims (no fee schedule loaded) so Potential Recovery / Recovery Status cannot work; dashboard 'revenue expectation' uses Initial Insurance AR instead. Dependent on open item #5.</t>
  </si>
  <si>
    <t xml:space="preserve">Revenue Expectation now calculated (line-inclusion rule clarified — see OBS-27).</t>
  </si>
  <si>
    <t xml:space="preserve">DEF-12</t>
  </si>
  <si>
    <t xml:space="preserve">Recovered Amount definition includes adjustments and measures from intake; spec = insurance payments only, dated after denial date.</t>
  </si>
  <si>
    <t xml:space="preserve">DEF-13</t>
  </si>
  <si>
    <t xml:space="preserve">TC-048, TC-049, TC-052</t>
  </si>
  <si>
    <t xml:space="preserve">No attachment upload on follow-up notes; no mandatory document category on uploads.</t>
  </si>
  <si>
    <t xml:space="preserve">DEF-14</t>
  </si>
  <si>
    <t xml:space="preserve">Document Vault</t>
  </si>
  <si>
    <t xml:space="preserve">Document Vault (search by claim/visit, patient, category) not implemented.</t>
  </si>
  <si>
    <t xml:space="preserve">DEF-15</t>
  </si>
  <si>
    <t xml:space="preserve">TC-063, TC-066</t>
  </si>
  <si>
    <t xml:space="preserve">Security / Comment visibility</t>
  </si>
  <si>
    <t xml:space="preserve">Critical</t>
  </si>
  <si>
    <t xml:space="preserve">Client users (Clinic Viewer and Client Viewer) can open the full claim page via direct URL (#/claims/{key}) and the claim API; Follow-Ups, Activity Timeline and QA Review expose internal agent notes and QA notes (e.g., claim 19524452). Violates §9.2.</t>
  </si>
  <si>
    <t xml:space="preserve">DEF-16</t>
  </si>
  <si>
    <t xml:space="preserve">TC-016, TC-024</t>
  </si>
  <si>
    <t xml:space="preserve">Security / Access</t>
  </si>
  <si>
    <t xml:space="preserve">QA Reviewer: Work Queue page blocked in UI, but claims/queues API returns all 84,074 claims including restricted Non-Collectible and Closed queues. Enforce role scope server-side.</t>
  </si>
  <si>
    <t xml:space="preserve">DEF-17</t>
  </si>
  <si>
    <t xml:space="preserve">Write-off posting</t>
  </si>
  <si>
    <t xml:space="preserve">AR Agent cannot 'Mark as Posted' an approved write-off (no control; API 403 with misleading message 'Only … can assign claims'). §8.3 says the agent posts in PMS and marks the claim complete.</t>
  </si>
  <si>
    <t xml:space="preserve">DEF-18</t>
  </si>
  <si>
    <t xml:space="preserve">CIP / Client users</t>
  </si>
  <si>
    <t xml:space="preserve">Clinic Viewer is read-only and cannot respond to CIPs routed to their clinic; only the lab-level Client Viewer can respond. Conflicts with §9.1/§10.1 (CIPs routed to clinic-scoped users who respond). Confirm intended design.</t>
  </si>
  <si>
    <t xml:space="preserve">Open – clarify</t>
  </si>
  <si>
    <t xml:space="preserve">DEF-19</t>
  </si>
  <si>
    <t xml:space="preserve">AR Queue</t>
  </si>
  <si>
    <t xml:space="preserve">After the client responds, claim remains in 'Client Escalation (CIP) Pending'; it only enters 'CIP Response Received' after the manager approves and returns it to the agent. §3.1 defines CIP Response Received as 'client has responded'.</t>
  </si>
  <si>
    <t xml:space="preserve">DEF-20</t>
  </si>
  <si>
    <t xml:space="preserve">After auto-adjustment, RemainingAR = 0 but claim InsuranceBalance still shows the original amount (19122637: $60.90). §6 says nullify the balance within the Workbench.</t>
  </si>
  <si>
    <t xml:space="preserve">Fixed in the UI: 19497919 shows Insurance Balance $0.00 on Claim Detail and in the Work Queue (RSKP screenshot, 19 Oct). Raw API field still holds the source balance with isBalanceNullified = true — see OBS-26.</t>
  </si>
  <si>
    <t xml:space="preserve">DEF-21</t>
  </si>
  <si>
    <t xml:space="preserve">Claim-level Revenue Expectation sums only CPT lines flagged inRevenueExpectation, not all billed CPTs as §7 states (19448764: $210.54 vs $807.07 all lines). WITHDRAWN 19 Oct: RSKP confirmed the intended rule is collectible Denied / No Response lines only; paid lines excluded. Application behaves as intended; requirement text to be updated (OBS-27).</t>
  </si>
  <si>
    <t xml:space="preserve">Withdrawn after business-rule clarification (RSKP, 19 Oct).</t>
  </si>
  <si>
    <t xml:space="preserve">Recovery Status 'In Progress' assigned when Patient Balance &gt; 0 (Ins Pmt = Pt Pmt = 0). §7: In Progress only when all three are 0. 8,347 Patient AR claims affected; 22/141 sampled claims wrong.</t>
  </si>
  <si>
    <t xml:space="preserve">Found in 19 Oct retest (v1.1 scope).</t>
  </si>
  <si>
    <t xml:space="preserve">FR-DASH-02/03</t>
  </si>
  <si>
    <t xml:space="preserve">Control Plan widget (Open / In Progress / Closed by classification &amp; action) and SLA / Appeal Success Rate tiles not built.</t>
  </si>
  <si>
    <t xml:space="preserve">'More filters' (Claim Status, Rendering Provider, Fix/Resolution, CPT, balance range, next follow-up range) missing on Work Queue.</t>
  </si>
  <si>
    <t xml:space="preserve">Create Assignment Batch has no Action / Task filter (session request).</t>
  </si>
  <si>
    <t xml:space="preserve">No 'Approved Write-Offs – Pending Posting' or 'New Denials' KPI tiles.</t>
  </si>
  <si>
    <t xml:space="preserve">No breakdown by escalation / reassignment reason category.</t>
  </si>
  <si>
    <t xml:space="preserve">Workbench Lists have no CSV template download / upload for bulk replace.</t>
  </si>
  <si>
    <t xml:space="preserve">Excel / Client</t>
  </si>
  <si>
    <t xml:space="preserve">Account Manager / Client users cannot export claim line items and status (only report exports).</t>
  </si>
  <si>
    <t xml:space="preserve">FR-QA-06, FR-UI-01</t>
  </si>
  <si>
    <t xml:space="preserve">Shared grid / QA</t>
  </si>
  <si>
    <t xml:space="preserve">Ineligible rows (own work) still render a selection checkbox in QA queue; page sizes 50/100/500/1,000 instead of 10/25/50/100.</t>
  </si>
  <si>
    <t xml:space="preserve">Client Management</t>
  </si>
  <si>
    <t xml:space="preserve">Per-client configuration (SharePoint source folder, onboarding status, primary account manager) not on client card.</t>
  </si>
  <si>
    <t xml:space="preserve">Obs ID</t>
  </si>
  <si>
    <t xml:space="preserve">Linked</t>
  </si>
  <si>
    <t xml:space="preserve">Observation / Clarification Needed</t>
  </si>
  <si>
    <t xml:space="preserve">Status 19 Oct</t>
  </si>
  <si>
    <t xml:space="preserve">OBS-01</t>
  </si>
  <si>
    <t xml:space="preserve">Data Processing header 'Master File Loaded' shows '—' even though run #3 loaded a file.</t>
  </si>
  <si>
    <t xml:space="preserve">Resolved</t>
  </si>
  <si>
    <t xml:space="preserve">Insight count (1,699) uses primary denial only; routed Work Queue filter returns 1,700 (includes a claim with 216 as secondary code). Align filter with insight basis.</t>
  </si>
  <si>
    <t xml:space="preserve">Open / to confirm</t>
  </si>
  <si>
    <t xml:space="preserve">OBS-03</t>
  </si>
  <si>
    <t xml:space="preserve">2 Non-Responder claims have source status 'Patient Responsibility' — confirm intended.</t>
  </si>
  <si>
    <t xml:space="preserve">OBS-04</t>
  </si>
  <si>
    <t xml:space="preserve">100 Denied – Possible Collectible claims carry an NC/terminal code (e.g., 242) as a secondary code in the curated column; will move once Phase 2 hierarchy is delivered.</t>
  </si>
  <si>
    <t xml:space="preserve">OBS-05</t>
  </si>
  <si>
    <t xml:space="preserve">No Patient AR claim retains a denial code, so 'denial present → still Patient AR' could not be exercised.</t>
  </si>
  <si>
    <t xml:space="preserve">TC-020, TC-033</t>
  </si>
  <si>
    <t xml:space="preserve">Extra queues not in spec: 'Unbilled (Not Yet Billed)' and 'Status Change Verification'. Confirm with business owner and add to the requirement doc.</t>
  </si>
  <si>
    <t xml:space="preserve">OBS-07</t>
  </si>
  <si>
    <t xml:space="preserve">Claims API returns AssignedAgentName = null while AssignedAgentUser is populated (display name gap).</t>
  </si>
  <si>
    <t xml:space="preserve">OBS-08</t>
  </si>
  <si>
    <t xml:space="preserve">'CR' (Corrections &amp; Reversals) group prefix not stripped — CR96 falls to Unmapped/'Other'. Spec lists CO/PR/PI/OA only; confirm whether CR should be added.</t>
  </si>
  <si>
    <t xml:space="preserve">OBS-09</t>
  </si>
  <si>
    <t xml:space="preserve">Assignment page '6,066 claims untouched for 45+ days' counts never-worked claims; ensure this is not confused with the Re-Follow-Up – Unresolved rule (touched claims only).</t>
  </si>
  <si>
    <t xml:space="preserve">OBS-10</t>
  </si>
  <si>
    <t xml:space="preserve">7 Closed claims remain 'Assigned' — confirm they were assigned intentionally (special project) rather than left assigned after closing on sync.</t>
  </si>
  <si>
    <t xml:space="preserve">OBS-11</t>
  </si>
  <si>
    <t xml:space="preserve">No dedicated 'Export Auto Adjustments report' for PMS posting; relies on generic export.</t>
  </si>
  <si>
    <t xml:space="preserve">Resolved (background export)</t>
  </si>
  <si>
    <t xml:space="preserve">Later-than-45-day next follow-up dates are not blocked (open item #8).</t>
  </si>
  <si>
    <t xml:space="preserve">OBS-13</t>
  </si>
  <si>
    <t xml:space="preserve">Analytics &amp; Reports visible to AR Agent and QA Reviewer; matrix leaves these blank — confirm intended.</t>
  </si>
  <si>
    <t xml:space="preserve">OBS-14</t>
  </si>
  <si>
    <t xml:space="preserve">Client Viewer has no claim/line-item export (Work Queue blocked); project instructions say Account Manager / Client can export denial line items to Excel — confirm whether Reports exports cover this.</t>
  </si>
  <si>
    <t xml:space="preserve">OBS-15</t>
  </si>
  <si>
    <t xml:space="preserve">RW (all)</t>
  </si>
  <si>
    <t xml:space="preserve">1,165 unassigned Possible Collectible claims have no clinic on the claim, so clinic-scoped users will never see them; confirm clinic mapping in the master file.</t>
  </si>
  <si>
    <t xml:space="preserve">TC-012/019/033/037</t>
  </si>
  <si>
    <t xml:space="preserve">Assigned claims whose master-file status changes are held in 'Status Change Verification' (14) for manager decision (Return / Release / Complete / Reassign) instead of moving straight to Closed / Patient AR as §5 states. Works well; add to requirements or confirm.</t>
  </si>
  <si>
    <t xml:space="preserve">Claim Detail back link always reads 'Back to Work Queue', also when opened from CIP / client screens.</t>
  </si>
  <si>
    <t xml:space="preserve">User list shows Last Login 'Never' for users who signed in on 15 Oct (tracking appears to start with this build).</t>
  </si>
  <si>
    <t xml:space="preserve">OBS-23</t>
  </si>
  <si>
    <t xml:space="preserve">127 claims were auto-adjusted between 15 and 19 Oct by another user (not by the tester); confirm that bulk run was intentional in Test.</t>
  </si>
  <si>
    <t xml:space="preserve">OBS-28</t>
  </si>
  <si>
    <t xml:space="preserve">TC-022, DEF-07</t>
  </si>
  <si>
    <t xml:space="preserve">Denial code 284 is on the Workbench Non-Collectible list and classifies correctly (24/24 claims Denied – Non-Collectible), but 284 has no row in the Denial Code Master (116 codes), so the master has no description or NC flag for it. Add 284 to the Denial Code Master so both lists stay aligned.</t>
  </si>
  <si>
    <t xml:space="preserve">OBS-27</t>
  </si>
  <si>
    <t xml:space="preserve">TC-042, §7</t>
  </si>
  <si>
    <t xml:space="preserve">Business rule clarified by RSKP (19 Oct): Revenue Expectation is calculated only for collectible Denied / No Response CPT lines, not paid lines. Handoff v1.1 §7 / Part C #11 still say 'across all billed CPTs' — update the requirement text. Also confirm whether partially adjusted lines with an open balance (e.g., 19448764 lines 87500, 87798) should count.</t>
  </si>
  <si>
    <t xml:space="preserve">OBS-26</t>
  </si>
  <si>
    <t xml:space="preserve">TC-039, FR-ADJ-03</t>
  </si>
  <si>
    <t xml:space="preserve">Auto-adjusted claims display Insurance Balance $0.00 in the UI (balance nullified via isBalanceNullified flag), while the claims API field InsuranceBalance keeps the source-file value (e.g., 19497919 = 228.86). Confirm Excel exports / reports use the nullified value so downstream totals match the screen.</t>
  </si>
  <si>
    <t xml:space="preserve">TC-008, FR-DP-03/04</t>
  </si>
  <si>
    <t xml:space="preserve">CO-216 insight shows '# of Denials' 2,051 but 'Still Open' 2,219. The 2,051 (and $714,194.50) is a static figure from the team's uploaded Key Observations (week of 14 Oct); 2,219 / $773,349.77 is computed live from the 18-Oct master-file sync (2,230 claims with primary 216, minus 11 assigned). Live primary-216 claims grew 1,710 → 2,230 between the 8-Oct and 18-Oct syncs while total claims grew only 420, so existing claims were re-denied as 216 on sync ('Denial Code Changed' audit entries). Displaying a static total beside a live open count lets 'still open' exceed the total, contrary to the §2.2 intent. Options: label the uploaded figure 'as reported' and add a live total, or compute both from synced data. Decision pending (RSKP).</t>
  </si>
  <si>
    <t xml:space="preserve">OBS-24</t>
  </si>
  <si>
    <t xml:space="preserve">Document Vault is visible to Client / Clinic Viewers (scoped to their CIP files); §16 lists it for internal roles only — confirm.</t>
  </si>
  <si>
    <t xml:space="preserve">Ref</t>
  </si>
  <si>
    <t xml:space="preserve">Mockup (Demo Account HTML)</t>
  </si>
  <si>
    <t xml:space="preserve">Application (Test, 19 Oct)</t>
  </si>
  <si>
    <t xml:space="preserve">Assessment</t>
  </si>
  <si>
    <t xml:space="preserve">M-01</t>
  </si>
  <si>
    <t xml:space="preserve">Navigation / screens</t>
  </si>
  <si>
    <t xml:space="preserve">16 screens incl. My Work, System Settings, Client Escalation Requests (viewer)</t>
  </si>
  <si>
    <t xml:space="preserve">All screens present; 'System Settings' replaced by 'Master Values' (9 sub-pages); adds 'Status Change Verification'</t>
  </si>
  <si>
    <t xml:space="preserve">Aligned (with additions)</t>
  </si>
  <si>
    <t xml:space="preserve">M-02</t>
  </si>
  <si>
    <t xml:space="preserve">Personas / roles</t>
  </si>
  <si>
    <t xml:space="preserve">Admin, RCM Manager, Team Lead, AR Agent, QA Reviewer, Client Viewer (client / clinic / provider scopes)</t>
  </si>
  <si>
    <t xml:space="preserve">Same 8 roles incl. Clinic Viewer and Provider Viewer</t>
  </si>
  <si>
    <t xml:space="preserve">Aligned</t>
  </si>
  <si>
    <t xml:space="preserve">M-03</t>
  </si>
  <si>
    <t xml:space="preserve">Dashboard KPI tiles</t>
  </si>
  <si>
    <t xml:space="preserve">10 tiles: Eligible Claims, Outstanding Ins AR, Awaiting Assignment, In Progress, Awaiting QA, QA Rejected, Completed/Closed, Recovered, Potential Recovery, Overdue Follow-Ups</t>
  </si>
  <si>
    <t xml:space="preserve">Same 10 tiles</t>
  </si>
  <si>
    <t xml:space="preserve">Aligned (values: see DEF-06, DEF-11)</t>
  </si>
  <si>
    <t xml:space="preserve">M-04</t>
  </si>
  <si>
    <t xml:space="preserve">Dashboard insight table</t>
  </si>
  <si>
    <t xml:space="preserve">Denial code, description, counts, balance, top payer, impact, observation, category, action</t>
  </si>
  <si>
    <t xml:space="preserve">Same columns; descriptions now populated</t>
  </si>
  <si>
    <t xml:space="preserve">M-05</t>
  </si>
  <si>
    <t xml:space="preserve">Work Queue filters</t>
  </si>
  <si>
    <t xml:space="preserve">Client, payer, panel, category, status, agent, priority, aging, AR queue, TFL, search, saved views</t>
  </si>
  <si>
    <t xml:space="preserve">Same plus Clinic, Open Ins AR only, Non-collectible only</t>
  </si>
  <si>
    <t xml:space="preserve">M-06</t>
  </si>
  <si>
    <t xml:space="preserve">Work Queue column</t>
  </si>
  <si>
    <t xml:space="preserve">'Expected Payment'</t>
  </si>
  <si>
    <t xml:space="preserve">'Revenue Expectation' (renamed)</t>
  </si>
  <si>
    <t xml:space="preserve">App follows handoff</t>
  </si>
  <si>
    <t xml:space="preserve">M-07</t>
  </si>
  <si>
    <t xml:space="preserve">Claim detail financials</t>
  </si>
  <si>
    <t xml:space="preserve">Expected Payment, Potential Recovery</t>
  </si>
  <si>
    <t xml:space="preserve">Revenue Expectation, Potential Recovery, Recovery Status</t>
  </si>
  <si>
    <t xml:space="preserve">App follows handoff (better than mockup)</t>
  </si>
  <si>
    <t xml:space="preserve">M-08</t>
  </si>
  <si>
    <t xml:space="preserve">Process Automatic Adjustments</t>
  </si>
  <si>
    <t xml:space="preserve">Button in restricted Work Queue; claims moved to Completed</t>
  </si>
  <si>
    <t xml:space="preserve">Button present; Auto Adjustments queue created (per handoff)</t>
  </si>
  <si>
    <t xml:space="preserve">M-09</t>
  </si>
  <si>
    <t xml:space="preserve">Log Follow-Up Note</t>
  </si>
  <si>
    <t xml:space="preserve">Claim Type, Follow-Up Type, Claim Status, Root Cause, Fix/Resolution, Comment, Next Follow-Up</t>
  </si>
  <si>
    <t xml:space="preserve">Same fields + CIP fields + categorised attachments</t>
  </si>
  <si>
    <t xml:space="preserve">Aligned (exceeds mockup)</t>
  </si>
  <si>
    <t xml:space="preserve">M-10</t>
  </si>
  <si>
    <t xml:space="preserve">CIP Escalations</t>
  </si>
  <si>
    <t xml:space="preserve">Review, bulk approve / reject, return to agent, re-escalate</t>
  </si>
  <si>
    <t xml:space="preserve">Same lifecycle and bulk actions</t>
  </si>
  <si>
    <t xml:space="preserve">M-11</t>
  </si>
  <si>
    <t xml:space="preserve">Escalation &amp; Reassignment Requests</t>
  </si>
  <si>
    <t xml:space="preserve">Screen for Admin/Mgr/TL with Mark Resolved</t>
  </si>
  <si>
    <t xml:space="preserve">Same; reassigning resolves request</t>
  </si>
  <si>
    <t xml:space="preserve">M-12</t>
  </si>
  <si>
    <t xml:space="preserve">Denial Analysis, Panel Type, AR Aging, Recovery Performance, Agent Productivity</t>
  </si>
  <si>
    <t xml:space="preserve">Same 5 plus Recovery Trend, Action Completion, Operational SLA, AR Collections Progress; RPT-01–09 map</t>
  </si>
  <si>
    <t xml:space="preserve">Aligned (extended)</t>
  </si>
  <si>
    <t xml:space="preserve">M-13</t>
  </si>
  <si>
    <t xml:space="preserve">Assignment Management</t>
  </si>
  <si>
    <t xml:space="preserve">Batch by category with Due Date; untouched claims list</t>
  </si>
  <si>
    <t xml:space="preserve">Same</t>
  </si>
  <si>
    <t xml:space="preserve">M-14</t>
  </si>
  <si>
    <t xml:space="preserve">Non-Collectible list</t>
  </si>
  <si>
    <t xml:space="preserve">System Settings (admin only)</t>
  </si>
  <si>
    <t xml:space="preserve">Master Values › Workbench Lists (admin + RCM Manager)</t>
  </si>
  <si>
    <t xml:space="preserve">Aligned with handoff</t>
  </si>
  <si>
    <t xml:space="preserve">M-15</t>
  </si>
  <si>
    <t xml:space="preserve">Not in mockup</t>
  </si>
  <si>
    <t xml:space="preserve">Document Vault built (search by claim / patient / category / source / date)</t>
  </si>
  <si>
    <t xml:space="preserve">Queue reconciliation – 84,494 claims (API pull 19 Oct 2026, before role-workflow actions)</t>
  </si>
  <si>
    <t xml:space="preserve">Queue</t>
  </si>
  <si>
    <t xml:space="preserve">Sub-queue</t>
  </si>
  <si>
    <t xml:space="preserve">Claims</t>
  </si>
  <si>
    <t xml:space="preserve">Unassigned</t>
  </si>
  <si>
    <t xml:space="preserve">Auto-fed per spec?</t>
  </si>
  <si>
    <t xml:space="preserve">Fully Paid</t>
  </si>
  <si>
    <t xml:space="preserve">No</t>
  </si>
  <si>
    <t xml:space="preserve">Fully Adjusted</t>
  </si>
  <si>
    <t xml:space="preserve">Patient AR</t>
  </si>
  <si>
    <t xml:space="preserve">Non-Responder</t>
  </si>
  <si>
    <t xml:space="preserve">Possible Collectible</t>
  </si>
  <si>
    <t xml:space="preserve">Yes</t>
  </si>
  <si>
    <t xml:space="preserve">Denied</t>
  </si>
  <si>
    <t xml:space="preserve">Non-Collectible</t>
  </si>
  <si>
    <t xml:space="preserve">Partially Paid</t>
  </si>
  <si>
    <t xml:space="preserve">Partially Adjusted</t>
  </si>
  <si>
    <t xml:space="preserve">Unbilled (not in spec)</t>
  </si>
  <si>
    <t xml:space="preserve">Not defined</t>
  </si>
  <si>
    <t xml:space="preserve">System Auto-Adjusted</t>
  </si>
  <si>
    <t xml:space="preserve">Approved Write-Offs – Pending Posting</t>
  </si>
  <si>
    <t xml:space="preserve">Status Change Verification (not in spec)</t>
  </si>
  <si>
    <t xml:space="preserve">QA Rejected</t>
  </si>
  <si>
    <t xml:space="preserve">Client Escalation (CIP) Pending</t>
  </si>
  <si>
    <t xml:space="preserve">Completed Claims</t>
  </si>
  <si>
    <t xml:space="preserve">Unassigned in spec auto-fed queues</t>
  </si>
  <si>
    <t xml:space="preserve">Work Queue badge / Dashboard 'Awaiting Assignment' (observed)</t>
  </si>
  <si>
    <t xml:space="preserve">Variance</t>
  </si>
  <si>
    <t xml:space="preserve">Blue value read from the app UI on 19 Oct 2026; 15 Oct the badge was 9,054 vs 7,193 (variance 1,861).</t>
  </si>
</sst>
</file>

<file path=xl/styles.xml><?xml version="1.0" encoding="utf-8"?>
<styleSheet xmlns="http://schemas.openxmlformats.org/spreadsheetml/2006/main">
  <numFmts count="3">
    <numFmt numFmtId="164" formatCode="General"/>
    <numFmt numFmtId="165" formatCode="0.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b val="true"/>
      <sz val="10"/>
      <name val="Arial"/>
      <family val="0"/>
      <charset val="1"/>
    </font>
    <font>
      <sz val="9"/>
      <name val="Arial"/>
      <family val="0"/>
      <charset val="1"/>
    </font>
    <font>
      <b val="true"/>
      <sz val="10"/>
      <color rgb="FFFFFFFF"/>
      <name val="Arial"/>
      <family val="0"/>
      <charset val="1"/>
    </font>
    <font>
      <i val="true"/>
      <sz val="8"/>
      <name val="Arial"/>
      <family val="0"/>
      <charset val="1"/>
    </font>
    <font>
      <b val="true"/>
      <sz val="12"/>
      <color rgb="FF1F3A5F"/>
      <name val="Arial"/>
      <family val="0"/>
      <charset val="1"/>
    </font>
    <font>
      <b val="true"/>
      <sz val="9"/>
      <name val="Arial"/>
      <family val="0"/>
      <charset val="1"/>
    </font>
    <font>
      <sz val="9"/>
      <color rgb="FF0000FF"/>
      <name val="Arial"/>
      <family val="0"/>
      <charset val="1"/>
    </font>
  </fonts>
  <fills count="11">
    <fill>
      <patternFill patternType="none"/>
    </fill>
    <fill>
      <patternFill patternType="gray125"/>
    </fill>
    <fill>
      <patternFill patternType="solid">
        <fgColor rgb="FF1F3A5F"/>
        <bgColor rgb="FF333333"/>
      </patternFill>
    </fill>
    <fill>
      <patternFill patternType="solid">
        <fgColor rgb="FFC6EFCE"/>
        <bgColor rgb="FFDDEBF7"/>
      </patternFill>
    </fill>
    <fill>
      <patternFill patternType="solid">
        <fgColor rgb="FFFFC7CE"/>
        <bgColor rgb="FFF8CBAD"/>
      </patternFill>
    </fill>
    <fill>
      <patternFill patternType="solid">
        <fgColor rgb="FFFFEB9C"/>
        <bgColor rgb="FFF8CBAD"/>
      </patternFill>
    </fill>
    <fill>
      <patternFill patternType="solid">
        <fgColor rgb="FFD9D9D9"/>
        <bgColor rgb="FFDDEBF7"/>
      </patternFill>
    </fill>
    <fill>
      <patternFill patternType="solid">
        <fgColor rgb="FFDDEBF7"/>
        <bgColor rgb="FFEDEDED"/>
      </patternFill>
    </fill>
    <fill>
      <patternFill patternType="solid">
        <fgColor rgb="FFEDEDED"/>
        <bgColor rgb="FFF2F2F2"/>
      </patternFill>
    </fill>
    <fill>
      <patternFill patternType="solid">
        <fgColor rgb="FFF2F2F2"/>
        <bgColor rgb="FFEDEDED"/>
      </patternFill>
    </fill>
    <fill>
      <patternFill patternType="solid">
        <fgColor rgb="FFF8CBAD"/>
        <bgColor rgb="FFFFC7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1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2F2F2"/>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FFC7CE"/>
        </patternFill>
      </fill>
    </dxf>
    <dxf>
      <fill>
        <patternFill>
          <bgColor rgb="FFFFEB9C"/>
        </patternFill>
      </fill>
    </dxf>
    <dxf>
      <fill>
        <patternFill>
          <bgColor rgb="FFD9D9D9"/>
        </patternFill>
      </fill>
    </dxf>
    <dxf>
      <fill>
        <patternFill>
          <bgColor rgb="FFDDEBF7"/>
        </patternFill>
      </fill>
    </dxf>
    <dxf>
      <fill>
        <patternFill>
          <bgColor rgb="FFEDEDED"/>
        </patternFill>
      </fill>
    </dxf>
    <dxf>
      <fill>
        <patternFill>
          <bgColor rgb="FFF2F2F2"/>
        </patternFill>
      </fill>
    </dxf>
    <dxf>
      <fill>
        <patternFill>
          <bgColor rgb="FFF8CBAD"/>
        </patternFill>
      </fill>
    </dxf>
    <dxf>
      <fill>
        <patternFill patternType="solid">
          <fgColor rgb="FFFF7C80"/>
          <bgColor rgb="FF000000"/>
        </patternFill>
      </fill>
    </dxf>
    <dxf>
      <fill>
        <patternFill patternType="solid">
          <fgColor rgb="FFF8CBAD"/>
          <bgColor rgb="FF000000"/>
        </patternFill>
      </fill>
    </dxf>
    <dxf>
      <fill>
        <patternFill>
          <bgColor rgb="FFFF7C8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7C80"/>
      <rgbColor rgb="FF0066CC"/>
      <rgbColor rgb="FFD9D9D9"/>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FC7CE"/>
      <rgbColor rgb="FFCC99FF"/>
      <rgbColor rgb="FFF8CBAD"/>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6"/>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3" t="s">
        <v>12</v>
      </c>
    </row>
    <row r="10" customFormat="false" ht="30" hidden="false" customHeight="true" outlineLevel="0" collapsed="false">
      <c r="A10" s="4" t="s">
        <v>13</v>
      </c>
      <c r="B10" s="4" t="s">
        <v>14</v>
      </c>
      <c r="C10" s="4" t="s">
        <v>15</v>
      </c>
      <c r="D10" s="4" t="s">
        <v>16</v>
      </c>
      <c r="E10" s="4" t="s">
        <v>17</v>
      </c>
      <c r="F10" s="4" t="s">
        <v>18</v>
      </c>
      <c r="G10" s="4" t="s">
        <v>19</v>
      </c>
    </row>
    <row r="11" customFormat="false" ht="15" hidden="false" customHeight="false" outlineLevel="0" collapsed="false">
      <c r="A11" s="5" t="s">
        <v>20</v>
      </c>
      <c r="B11" s="3" t="n">
        <f aca="false">COUNTIF('Part A Test Cases'!$J$2:$J$69,$A11)</f>
        <v>57</v>
      </c>
      <c r="C11" s="3" t="n">
        <f aca="false">COUNTIF('Part B FR Traceability'!$D$2:$D$137,$A11)</f>
        <v>105</v>
      </c>
      <c r="D11" s="3" t="n">
        <f aca="false">COUNTIF('Part C Mockup Rules'!$D$2:$D$23,$A11)</f>
        <v>21</v>
      </c>
      <c r="E11" s="3" t="n">
        <f aca="false">COUNTIF('Part E NFR'!$C$2:$C$10,$A11)</f>
        <v>3</v>
      </c>
      <c r="F11" s="3" t="n">
        <f aca="false">COUNTIF('Role Workflow Retest'!$I$2:$I$32,$A11)</f>
        <v>28</v>
      </c>
      <c r="G11" s="2" t="n">
        <f aca="false">SUM(B11:F11)</f>
        <v>214</v>
      </c>
    </row>
    <row r="12" customFormat="false" ht="15" hidden="false" customHeight="false" outlineLevel="0" collapsed="false">
      <c r="A12" s="6" t="s">
        <v>21</v>
      </c>
      <c r="B12" s="3" t="n">
        <f aca="false">COUNTIF('Part A Test Cases'!$J$2:$J$69,$A12)</f>
        <v>1</v>
      </c>
      <c r="C12" s="3" t="n">
        <f aca="false">COUNTIF('Part B FR Traceability'!$D$2:$D$137,$A12)</f>
        <v>6</v>
      </c>
      <c r="D12" s="3" t="n">
        <f aca="false">COUNTIF('Part C Mockup Rules'!$D$2:$D$23,$A12)</f>
        <v>0</v>
      </c>
      <c r="E12" s="3" t="n">
        <f aca="false">COUNTIF('Part E NFR'!$C$2:$C$10,$A12)</f>
        <v>0</v>
      </c>
      <c r="F12" s="3" t="n">
        <f aca="false">COUNTIF('Role Workflow Retest'!$I$2:$I$32,$A12)</f>
        <v>0</v>
      </c>
      <c r="G12" s="2" t="n">
        <f aca="false">SUM(B12:F12)</f>
        <v>7</v>
      </c>
    </row>
    <row r="13" customFormat="false" ht="15" hidden="false" customHeight="false" outlineLevel="0" collapsed="false">
      <c r="A13" s="7" t="s">
        <v>22</v>
      </c>
      <c r="B13" s="3" t="n">
        <f aca="false">COUNTIF('Part A Test Cases'!$J$2:$J$69,$A13)</f>
        <v>3</v>
      </c>
      <c r="C13" s="3" t="n">
        <f aca="false">COUNTIF('Part B FR Traceability'!$D$2:$D$137,$A13)</f>
        <v>9</v>
      </c>
      <c r="D13" s="3" t="n">
        <f aca="false">COUNTIF('Part C Mockup Rules'!$D$2:$D$23,$A13)</f>
        <v>1</v>
      </c>
      <c r="E13" s="3" t="n">
        <f aca="false">COUNTIF('Part E NFR'!$C$2:$C$10,$A13)</f>
        <v>0</v>
      </c>
      <c r="F13" s="3" t="n">
        <f aca="false">COUNTIF('Role Workflow Retest'!$I$2:$I$32,$A13)</f>
        <v>3</v>
      </c>
      <c r="G13" s="2" t="n">
        <f aca="false">SUM(B13:F13)</f>
        <v>16</v>
      </c>
    </row>
    <row r="14" customFormat="false" ht="15" hidden="false" customHeight="false" outlineLevel="0" collapsed="false">
      <c r="A14" s="8" t="s">
        <v>23</v>
      </c>
      <c r="B14" s="3" t="n">
        <f aca="false">COUNTIF('Part A Test Cases'!$J$2:$J$69,$A14)</f>
        <v>2</v>
      </c>
      <c r="C14" s="3" t="n">
        <f aca="false">COUNTIF('Part B FR Traceability'!$D$2:$D$137,$A14)</f>
        <v>1</v>
      </c>
      <c r="D14" s="3" t="n">
        <f aca="false">COUNTIF('Part C Mockup Rules'!$D$2:$D$23,$A14)</f>
        <v>0</v>
      </c>
      <c r="E14" s="3" t="n">
        <f aca="false">COUNTIF('Part E NFR'!$C$2:$C$10,$A14)</f>
        <v>0</v>
      </c>
      <c r="F14" s="3" t="n">
        <f aca="false">COUNTIF('Role Workflow Retest'!$I$2:$I$32,$A14)</f>
        <v>0</v>
      </c>
      <c r="G14" s="2" t="n">
        <f aca="false">SUM(B14:F14)</f>
        <v>3</v>
      </c>
    </row>
    <row r="15" customFormat="false" ht="15" hidden="false" customHeight="false" outlineLevel="0" collapsed="false">
      <c r="A15" s="9" t="s">
        <v>24</v>
      </c>
      <c r="B15" s="3" t="n">
        <f aca="false">COUNTIF('Part A Test Cases'!$J$2:$J$69,$A15)</f>
        <v>2</v>
      </c>
      <c r="C15" s="3" t="n">
        <f aca="false">COUNTIF('Part B FR Traceability'!$D$2:$D$137,$A15)</f>
        <v>9</v>
      </c>
      <c r="D15" s="3" t="n">
        <f aca="false">COUNTIF('Part C Mockup Rules'!$D$2:$D$23,$A15)</f>
        <v>0</v>
      </c>
      <c r="E15" s="3" t="n">
        <f aca="false">COUNTIF('Part E NFR'!$C$2:$C$10,$A15)</f>
        <v>5</v>
      </c>
      <c r="F15" s="3" t="n">
        <f aca="false">COUNTIF('Role Workflow Retest'!$I$2:$I$32,$A15)</f>
        <v>0</v>
      </c>
      <c r="G15" s="2" t="n">
        <f aca="false">SUM(B15:F15)</f>
        <v>16</v>
      </c>
    </row>
    <row r="16" customFormat="false" ht="15" hidden="false" customHeight="false" outlineLevel="0" collapsed="false">
      <c r="A16" s="10" t="s">
        <v>25</v>
      </c>
      <c r="B16" s="3" t="n">
        <f aca="false">COUNTIF('Part A Test Cases'!$J$2:$J$69,$A16)</f>
        <v>2</v>
      </c>
      <c r="C16" s="3" t="n">
        <f aca="false">COUNTIF('Part B FR Traceability'!$D$2:$D$137,$A16)</f>
        <v>5</v>
      </c>
      <c r="D16" s="3" t="n">
        <f aca="false">COUNTIF('Part C Mockup Rules'!$D$2:$D$23,$A16)</f>
        <v>0</v>
      </c>
      <c r="E16" s="3" t="n">
        <f aca="false">COUNTIF('Part E NFR'!$C$2:$C$10,$A16)</f>
        <v>0</v>
      </c>
      <c r="F16" s="3" t="n">
        <f aca="false">COUNTIF('Role Workflow Retest'!$I$2:$I$32,$A16)</f>
        <v>0</v>
      </c>
      <c r="G16" s="2" t="n">
        <f aca="false">SUM(B16:F16)</f>
        <v>7</v>
      </c>
    </row>
    <row r="17" customFormat="false" ht="15" hidden="false" customHeight="false" outlineLevel="0" collapsed="false">
      <c r="A17" s="11" t="s">
        <v>26</v>
      </c>
      <c r="B17" s="3" t="n">
        <f aca="false">COUNTIF('Part A Test Cases'!$J$2:$J$69,$A17)</f>
        <v>1</v>
      </c>
      <c r="C17" s="3" t="n">
        <f aca="false">COUNTIF('Part B FR Traceability'!$D$2:$D$137,$A17)</f>
        <v>0</v>
      </c>
      <c r="D17" s="3" t="n">
        <f aca="false">COUNTIF('Part C Mockup Rules'!$D$2:$D$23,$A17)</f>
        <v>0</v>
      </c>
      <c r="E17" s="3" t="n">
        <f aca="false">COUNTIF('Part E NFR'!$C$2:$C$10,$A17)</f>
        <v>0</v>
      </c>
      <c r="F17" s="3" t="n">
        <f aca="false">COUNTIF('Role Workflow Retest'!$I$2:$I$32,$A17)</f>
        <v>0</v>
      </c>
      <c r="G17" s="2" t="n">
        <f aca="false">SUM(B17:F17)</f>
        <v>1</v>
      </c>
    </row>
    <row r="18" customFormat="false" ht="15" hidden="false" customHeight="false" outlineLevel="0" collapsed="false">
      <c r="A18" s="11" t="s">
        <v>27</v>
      </c>
      <c r="B18" s="3" t="n">
        <f aca="false">COUNTIF('Part A Test Cases'!$J$2:$J$69,$A18)</f>
        <v>0</v>
      </c>
      <c r="C18" s="3" t="n">
        <f aca="false">COUNTIF('Part B FR Traceability'!$D$2:$D$137,$A18)</f>
        <v>1</v>
      </c>
      <c r="D18" s="3" t="n">
        <f aca="false">COUNTIF('Part C Mockup Rules'!$D$2:$D$23,$A18)</f>
        <v>0</v>
      </c>
      <c r="E18" s="3" t="n">
        <f aca="false">COUNTIF('Part E NFR'!$C$2:$C$10,$A18)</f>
        <v>0</v>
      </c>
      <c r="F18" s="3" t="n">
        <f aca="false">COUNTIF('Role Workflow Retest'!$I$2:$I$32,$A18)</f>
        <v>0</v>
      </c>
      <c r="G18" s="2" t="n">
        <f aca="false">SUM(B18:F18)</f>
        <v>1</v>
      </c>
    </row>
    <row r="19" customFormat="false" ht="15" hidden="false" customHeight="false" outlineLevel="0" collapsed="false">
      <c r="A19" s="11" t="s">
        <v>28</v>
      </c>
      <c r="B19" s="3" t="n">
        <f aca="false">COUNTIF('Part A Test Cases'!$J$2:$J$69,$A19)</f>
        <v>0</v>
      </c>
      <c r="C19" s="3" t="n">
        <f aca="false">COUNTIF('Part B FR Traceability'!$D$2:$D$137,$A19)</f>
        <v>0</v>
      </c>
      <c r="D19" s="3" t="n">
        <f aca="false">COUNTIF('Part C Mockup Rules'!$D$2:$D$23,$A19)</f>
        <v>0</v>
      </c>
      <c r="E19" s="3" t="n">
        <f aca="false">COUNTIF('Part E NFR'!$C$2:$C$10,$A19)</f>
        <v>1</v>
      </c>
      <c r="F19" s="3" t="n">
        <f aca="false">COUNTIF('Role Workflow Retest'!$I$2:$I$32,$A19)</f>
        <v>0</v>
      </c>
      <c r="G19" s="2" t="n">
        <f aca="false">SUM(B19:F19)</f>
        <v>1</v>
      </c>
    </row>
    <row r="20" customFormat="false" ht="15" hidden="false" customHeight="false" outlineLevel="0" collapsed="false">
      <c r="A20" s="2" t="s">
        <v>19</v>
      </c>
      <c r="B20" s="2" t="n">
        <f aca="false">SUM(B11:B19)</f>
        <v>68</v>
      </c>
      <c r="C20" s="2" t="n">
        <f aca="false">SUM(C11:C19)</f>
        <v>136</v>
      </c>
      <c r="D20" s="2" t="n">
        <f aca="false">SUM(D11:D19)</f>
        <v>22</v>
      </c>
      <c r="E20" s="2" t="n">
        <f aca="false">SUM(E11:E19)</f>
        <v>9</v>
      </c>
      <c r="F20" s="2" t="n">
        <f aca="false">SUM(F11:F19)</f>
        <v>31</v>
      </c>
      <c r="G20" s="2" t="n">
        <f aca="false">SUM(G11:G19)</f>
        <v>266</v>
      </c>
    </row>
    <row r="21" customFormat="false" ht="15" hidden="false" customHeight="false" outlineLevel="0" collapsed="false">
      <c r="A21" s="2" t="s">
        <v>29</v>
      </c>
      <c r="B21" s="12" t="n">
        <f aca="false">IFERROR(B11/(B11+B12+B13),0)</f>
        <v>0.934426229508197</v>
      </c>
      <c r="C21" s="12" t="n">
        <f aca="false">IFERROR(C11/(C11+C12+C13),0)</f>
        <v>0.875</v>
      </c>
      <c r="D21" s="12" t="n">
        <f aca="false">IFERROR(D11/(D11+D12+D13),0)</f>
        <v>0.954545454545455</v>
      </c>
      <c r="E21" s="12" t="n">
        <f aca="false">IFERROR(E11/(E11+E12+E13),0)</f>
        <v>1</v>
      </c>
      <c r="F21" s="12" t="n">
        <f aca="false">IFERROR(F11/(F11+F12+F13),0)</f>
        <v>0.903225806451613</v>
      </c>
      <c r="G21" s="12" t="n">
        <f aca="false">IFERROR(G11/(G11+G12+G13),0)</f>
        <v>0.90295358649789</v>
      </c>
    </row>
    <row r="22" customFormat="false" ht="15" hidden="false" customHeight="false" outlineLevel="0" collapsed="false">
      <c r="A22" s="13" t="s">
        <v>30</v>
      </c>
    </row>
    <row r="24" customFormat="false" ht="15" hidden="false" customHeight="false" outlineLevel="0" collapsed="false">
      <c r="A24" s="14" t="s">
        <v>31</v>
      </c>
    </row>
    <row r="25" customFormat="false" ht="15" hidden="false" customHeight="false" outlineLevel="0" collapsed="false">
      <c r="A25" s="15" t="s">
        <v>13</v>
      </c>
      <c r="B25" s="15" t="s">
        <v>32</v>
      </c>
      <c r="C25" s="15" t="s">
        <v>33</v>
      </c>
      <c r="D25" s="15" t="s">
        <v>34</v>
      </c>
    </row>
    <row r="26" customFormat="false" ht="15" hidden="false" customHeight="false" outlineLevel="0" collapsed="false">
      <c r="A26" s="3" t="s">
        <v>20</v>
      </c>
      <c r="B26" s="3" t="n">
        <f aca="false">COUNTIF('Part A Test Cases'!$K$2:$K$69,A26)</f>
        <v>34</v>
      </c>
      <c r="C26" s="3" t="n">
        <f aca="false">COUNTIF('Part A Test Cases'!$J$2:$J$69,A26)</f>
        <v>57</v>
      </c>
      <c r="D26" s="3" t="n">
        <f aca="false">C26-B26</f>
        <v>23</v>
      </c>
    </row>
    <row r="27" customFormat="false" ht="15" hidden="false" customHeight="false" outlineLevel="0" collapsed="false">
      <c r="A27" s="3" t="s">
        <v>21</v>
      </c>
      <c r="B27" s="3" t="n">
        <f aca="false">COUNTIF('Part A Test Cases'!$K$2:$K$69,A27)</f>
        <v>12</v>
      </c>
      <c r="C27" s="3" t="n">
        <f aca="false">COUNTIF('Part A Test Cases'!$J$2:$J$69,A27)</f>
        <v>1</v>
      </c>
      <c r="D27" s="3" t="n">
        <f aca="false">C27-B27</f>
        <v>-11</v>
      </c>
    </row>
    <row r="28" customFormat="false" ht="15" hidden="false" customHeight="false" outlineLevel="0" collapsed="false">
      <c r="A28" s="3" t="s">
        <v>22</v>
      </c>
      <c r="B28" s="3" t="n">
        <f aca="false">COUNTIF('Part A Test Cases'!$K$2:$K$69,A28)</f>
        <v>14</v>
      </c>
      <c r="C28" s="3" t="n">
        <f aca="false">COUNTIF('Part A Test Cases'!$J$2:$J$69,A28)</f>
        <v>3</v>
      </c>
      <c r="D28" s="3" t="n">
        <f aca="false">C28-B28</f>
        <v>-11</v>
      </c>
    </row>
    <row r="29" customFormat="false" ht="15" hidden="false" customHeight="false" outlineLevel="0" collapsed="false">
      <c r="A29" s="3" t="s">
        <v>23</v>
      </c>
      <c r="B29" s="3" t="n">
        <f aca="false">COUNTIF('Part A Test Cases'!$K$2:$K$69,A29)</f>
        <v>3</v>
      </c>
      <c r="C29" s="3" t="n">
        <f aca="false">COUNTIF('Part A Test Cases'!$J$2:$J$69,A29)</f>
        <v>2</v>
      </c>
      <c r="D29" s="3" t="n">
        <f aca="false">C29-B29</f>
        <v>-1</v>
      </c>
    </row>
    <row r="30" customFormat="false" ht="15" hidden="false" customHeight="false" outlineLevel="0" collapsed="false">
      <c r="A30" s="3" t="s">
        <v>24</v>
      </c>
      <c r="B30" s="3" t="n">
        <f aca="false">COUNTIF('Part A Test Cases'!$K$2:$K$69,A30)</f>
        <v>4</v>
      </c>
      <c r="C30" s="3" t="n">
        <f aca="false">COUNTIF('Part A Test Cases'!$J$2:$J$69,A30)</f>
        <v>2</v>
      </c>
      <c r="D30" s="3" t="n">
        <f aca="false">C30-B30</f>
        <v>-2</v>
      </c>
    </row>
    <row r="31" customFormat="false" ht="15" hidden="false" customHeight="false" outlineLevel="0" collapsed="false">
      <c r="A31" s="3" t="s">
        <v>25</v>
      </c>
      <c r="B31" s="3" t="n">
        <f aca="false">COUNTIF('Part A Test Cases'!$K$2:$K$69,A31)</f>
        <v>0</v>
      </c>
      <c r="C31" s="3" t="n">
        <f aca="false">COUNTIF('Part A Test Cases'!$J$2:$J$69,A31)</f>
        <v>2</v>
      </c>
      <c r="D31" s="3" t="n">
        <f aca="false">C31-B31</f>
        <v>2</v>
      </c>
    </row>
    <row r="32" customFormat="false" ht="15" hidden="false" customHeight="false" outlineLevel="0" collapsed="false">
      <c r="A32" s="3" t="s">
        <v>26</v>
      </c>
      <c r="B32" s="3" t="n">
        <f aca="false">COUNTIF('Part A Test Cases'!$K$2:$K$69,A32)</f>
        <v>1</v>
      </c>
      <c r="C32" s="3" t="n">
        <f aca="false">COUNTIF('Part A Test Cases'!$J$2:$J$69,A32)</f>
        <v>1</v>
      </c>
      <c r="D32" s="3" t="n">
        <f aca="false">C32-B32</f>
        <v>0</v>
      </c>
    </row>
    <row r="35" customFormat="false" ht="15" hidden="false" customHeight="false" outlineLevel="0" collapsed="false">
      <c r="A35" s="14" t="s">
        <v>35</v>
      </c>
    </row>
    <row r="36" customFormat="false" ht="15" hidden="false" customHeight="false" outlineLevel="0" collapsed="false">
      <c r="A36" s="15" t="s">
        <v>36</v>
      </c>
      <c r="B36" s="15" t="s">
        <v>37</v>
      </c>
    </row>
    <row r="37" customFormat="false" ht="15" hidden="false" customHeight="false" outlineLevel="0" collapsed="false">
      <c r="A37" s="5" t="s">
        <v>38</v>
      </c>
      <c r="B37" s="3" t="n">
        <f aca="false">COUNTIF('Defect Log'!$G$2:$G$32,A37)</f>
        <v>20</v>
      </c>
    </row>
    <row r="38" customFormat="false" ht="15" hidden="false" customHeight="false" outlineLevel="0" collapsed="false">
      <c r="A38" s="7" t="s">
        <v>39</v>
      </c>
      <c r="B38" s="3" t="n">
        <f aca="false">COUNTIF('Defect Log'!$G$2:$G$32,A38)</f>
        <v>0</v>
      </c>
    </row>
    <row r="39" customFormat="false" ht="15" hidden="false" customHeight="false" outlineLevel="0" collapsed="false">
      <c r="A39" s="6" t="s">
        <v>40</v>
      </c>
      <c r="B39" s="3" t="n">
        <f aca="false">COUNTIF('Defect Log'!$G$2:$G$32,A39)</f>
        <v>0</v>
      </c>
    </row>
    <row r="40" customFormat="false" ht="15" hidden="false" customHeight="false" outlineLevel="0" collapsed="false">
      <c r="A40" s="16" t="s">
        <v>41</v>
      </c>
      <c r="B40" s="3" t="n">
        <f aca="false">COUNTIF('Defect Log'!$G$2:$G$32,A40)</f>
        <v>10</v>
      </c>
    </row>
    <row r="41" customFormat="false" ht="15" hidden="false" customHeight="false" outlineLevel="0" collapsed="false">
      <c r="A41" s="10" t="s">
        <v>42</v>
      </c>
      <c r="B41" s="3" t="n">
        <f aca="false">COUNTIF('Defect Log'!$G$2:$G$32,A41)</f>
        <v>1</v>
      </c>
    </row>
    <row r="43" customFormat="false" ht="15" hidden="false" customHeight="false" outlineLevel="0" collapsed="false">
      <c r="A43" s="14" t="s">
        <v>43</v>
      </c>
    </row>
    <row r="44" customFormat="false" ht="39.75" hidden="false" customHeight="true" outlineLevel="0" collapsed="false">
      <c r="A44" s="17" t="s">
        <v>44</v>
      </c>
      <c r="B44" s="17"/>
      <c r="C44" s="17"/>
      <c r="D44" s="17"/>
      <c r="E44" s="17"/>
      <c r="F44" s="17"/>
      <c r="G44" s="17"/>
    </row>
    <row r="45" customFormat="false" ht="39.75" hidden="false" customHeight="true" outlineLevel="0" collapsed="false">
      <c r="A45" s="17" t="s">
        <v>45</v>
      </c>
      <c r="B45" s="17"/>
      <c r="C45" s="17"/>
      <c r="D45" s="17"/>
      <c r="E45" s="17"/>
      <c r="F45" s="17"/>
      <c r="G45" s="17"/>
    </row>
    <row r="46" customFormat="false" ht="39.75" hidden="false" customHeight="true" outlineLevel="0" collapsed="false">
      <c r="A46" s="17" t="s">
        <v>46</v>
      </c>
      <c r="B46" s="17"/>
      <c r="C46" s="17"/>
      <c r="D46" s="17"/>
      <c r="E46" s="17"/>
      <c r="F46" s="17"/>
      <c r="G46" s="17"/>
    </row>
    <row r="47" customFormat="false" ht="39.75" hidden="false" customHeight="true" outlineLevel="0" collapsed="false">
      <c r="A47" s="17" t="s">
        <v>47</v>
      </c>
      <c r="B47" s="17"/>
      <c r="C47" s="17"/>
      <c r="D47" s="17"/>
      <c r="E47" s="17"/>
      <c r="F47" s="17"/>
      <c r="G47" s="17"/>
    </row>
    <row r="48" customFormat="false" ht="39.75" hidden="false" customHeight="true" outlineLevel="0" collapsed="false">
      <c r="A48" s="17" t="s">
        <v>48</v>
      </c>
      <c r="B48" s="17"/>
      <c r="C48" s="17"/>
      <c r="D48" s="17"/>
      <c r="E48" s="17"/>
      <c r="F48" s="17"/>
      <c r="G48" s="17"/>
    </row>
    <row r="49" customFormat="false" ht="39.75" hidden="false" customHeight="true" outlineLevel="0" collapsed="false">
      <c r="A49" s="17" t="s">
        <v>49</v>
      </c>
      <c r="B49" s="17"/>
      <c r="C49" s="17"/>
      <c r="D49" s="17"/>
      <c r="E49" s="17"/>
      <c r="F49" s="17"/>
      <c r="G49" s="17"/>
    </row>
  </sheetData>
  <mergeCells count="6">
    <mergeCell ref="A44:G44"/>
    <mergeCell ref="A45:G45"/>
    <mergeCell ref="A46:G46"/>
    <mergeCell ref="A47:G47"/>
    <mergeCell ref="A48:G48"/>
    <mergeCell ref="A49:G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7"/>
    <col collapsed="false" customWidth="true" hidden="false" outlineLevel="0" max="3" min="3" style="0" width="16"/>
    <col collapsed="false" customWidth="true" hidden="false" outlineLevel="0" max="4" min="4" style="0" width="8"/>
    <col collapsed="false" customWidth="true" hidden="false" outlineLevel="0" max="5" min="5" style="0" width="36"/>
    <col collapsed="false" customWidth="true" hidden="false" outlineLevel="0" max="6" min="6" style="0" width="28"/>
    <col collapsed="false" customWidth="true" hidden="false" outlineLevel="0" max="7" min="7" style="0" width="30"/>
    <col collapsed="false" customWidth="true" hidden="false" outlineLevel="0" max="8" min="8" style="0" width="36"/>
    <col collapsed="false" customWidth="true" hidden="false" outlineLevel="0" max="9" min="9" style="0" width="58"/>
    <col collapsed="false" customWidth="true" hidden="false" outlineLevel="0" max="11" min="10" style="0" width="13"/>
    <col collapsed="false" customWidth="true" hidden="false" outlineLevel="0" max="12" min="12" style="0" width="18"/>
  </cols>
  <sheetData>
    <row r="1" customFormat="false" ht="23.85" hidden="false" customHeight="false" outlineLevel="0" collapsed="false">
      <c r="A1" s="18" t="s">
        <v>50</v>
      </c>
      <c r="B1" s="18" t="s">
        <v>51</v>
      </c>
      <c r="C1" s="18" t="s">
        <v>52</v>
      </c>
      <c r="D1" s="18" t="s">
        <v>53</v>
      </c>
      <c r="E1" s="18" t="s">
        <v>54</v>
      </c>
      <c r="F1" s="18" t="s">
        <v>55</v>
      </c>
      <c r="G1" s="18" t="s">
        <v>56</v>
      </c>
      <c r="H1" s="18" t="s">
        <v>57</v>
      </c>
      <c r="I1" s="18" t="s">
        <v>58</v>
      </c>
      <c r="J1" s="18" t="s">
        <v>59</v>
      </c>
      <c r="K1" s="18" t="s">
        <v>60</v>
      </c>
      <c r="L1" s="18" t="s">
        <v>61</v>
      </c>
    </row>
    <row r="2" customFormat="false" ht="53.7" hidden="false" customHeight="false" outlineLevel="0" collapsed="false">
      <c r="A2" s="19" t="s">
        <v>62</v>
      </c>
      <c r="B2" s="19" t="s">
        <v>63</v>
      </c>
      <c r="C2" s="19" t="s">
        <v>64</v>
      </c>
      <c r="D2" s="19" t="s">
        <v>65</v>
      </c>
      <c r="E2" s="19" t="s">
        <v>66</v>
      </c>
      <c r="F2" s="19" t="s">
        <v>67</v>
      </c>
      <c r="G2" s="19" t="s">
        <v>68</v>
      </c>
      <c r="H2" s="19" t="s">
        <v>69</v>
      </c>
      <c r="I2" s="19" t="s">
        <v>70</v>
      </c>
      <c r="J2" s="20" t="s">
        <v>20</v>
      </c>
      <c r="K2" s="19" t="s">
        <v>20</v>
      </c>
      <c r="L2" s="19"/>
    </row>
    <row r="3" customFormat="false" ht="22.35" hidden="false" customHeight="false" outlineLevel="0" collapsed="false">
      <c r="A3" s="19" t="s">
        <v>71</v>
      </c>
      <c r="B3" s="19" t="s">
        <v>63</v>
      </c>
      <c r="C3" s="19" t="s">
        <v>72</v>
      </c>
      <c r="D3" s="19" t="s">
        <v>73</v>
      </c>
      <c r="E3" s="19" t="s">
        <v>74</v>
      </c>
      <c r="F3" s="19" t="s">
        <v>75</v>
      </c>
      <c r="G3" s="19" t="s">
        <v>76</v>
      </c>
      <c r="H3" s="19" t="s">
        <v>77</v>
      </c>
      <c r="I3" s="19" t="s">
        <v>78</v>
      </c>
      <c r="J3" s="20" t="s">
        <v>20</v>
      </c>
      <c r="K3" s="19" t="s">
        <v>20</v>
      </c>
      <c r="L3" s="19"/>
    </row>
    <row r="4" customFormat="false" ht="32.8" hidden="false" customHeight="false" outlineLevel="0" collapsed="false">
      <c r="A4" s="19" t="s">
        <v>79</v>
      </c>
      <c r="B4" s="19" t="s">
        <v>63</v>
      </c>
      <c r="C4" s="19" t="s">
        <v>80</v>
      </c>
      <c r="D4" s="19" t="s">
        <v>65</v>
      </c>
      <c r="E4" s="19" t="s">
        <v>81</v>
      </c>
      <c r="F4" s="19" t="s">
        <v>82</v>
      </c>
      <c r="G4" s="19" t="s">
        <v>83</v>
      </c>
      <c r="H4" s="19" t="s">
        <v>84</v>
      </c>
      <c r="I4" s="19" t="s">
        <v>85</v>
      </c>
      <c r="J4" s="20" t="s">
        <v>20</v>
      </c>
      <c r="K4" s="19" t="s">
        <v>20</v>
      </c>
      <c r="L4" s="19"/>
    </row>
    <row r="5" customFormat="false" ht="32.8" hidden="false" customHeight="false" outlineLevel="0" collapsed="false">
      <c r="A5" s="19" t="s">
        <v>86</v>
      </c>
      <c r="B5" s="19" t="s">
        <v>87</v>
      </c>
      <c r="C5" s="19" t="s">
        <v>88</v>
      </c>
      <c r="D5" s="19" t="s">
        <v>65</v>
      </c>
      <c r="E5" s="19" t="s">
        <v>89</v>
      </c>
      <c r="F5" s="19" t="s">
        <v>90</v>
      </c>
      <c r="G5" s="19" t="s">
        <v>91</v>
      </c>
      <c r="H5" s="19" t="s">
        <v>92</v>
      </c>
      <c r="I5" s="19" t="s">
        <v>93</v>
      </c>
      <c r="J5" s="20" t="s">
        <v>20</v>
      </c>
      <c r="K5" s="19" t="s">
        <v>21</v>
      </c>
      <c r="L5" s="19" t="s">
        <v>94</v>
      </c>
    </row>
    <row r="6" customFormat="false" ht="32.8" hidden="false" customHeight="false" outlineLevel="0" collapsed="false">
      <c r="A6" s="19" t="s">
        <v>95</v>
      </c>
      <c r="B6" s="19" t="s">
        <v>87</v>
      </c>
      <c r="C6" s="19" t="s">
        <v>88</v>
      </c>
      <c r="D6" s="19" t="s">
        <v>73</v>
      </c>
      <c r="E6" s="19" t="s">
        <v>96</v>
      </c>
      <c r="F6" s="19" t="s">
        <v>97</v>
      </c>
      <c r="G6" s="19" t="s">
        <v>98</v>
      </c>
      <c r="H6" s="19" t="s">
        <v>99</v>
      </c>
      <c r="I6" s="19" t="s">
        <v>100</v>
      </c>
      <c r="J6" s="20" t="s">
        <v>20</v>
      </c>
      <c r="K6" s="19" t="s">
        <v>22</v>
      </c>
      <c r="L6" s="19"/>
    </row>
    <row r="7" customFormat="false" ht="32.8" hidden="false" customHeight="false" outlineLevel="0" collapsed="false">
      <c r="A7" s="19" t="s">
        <v>101</v>
      </c>
      <c r="B7" s="19" t="s">
        <v>87</v>
      </c>
      <c r="C7" s="19" t="s">
        <v>88</v>
      </c>
      <c r="D7" s="19" t="s">
        <v>65</v>
      </c>
      <c r="E7" s="19" t="s">
        <v>102</v>
      </c>
      <c r="F7" s="19" t="s">
        <v>103</v>
      </c>
      <c r="G7" s="19" t="s">
        <v>104</v>
      </c>
      <c r="H7" s="19" t="s">
        <v>105</v>
      </c>
      <c r="I7" s="19" t="s">
        <v>106</v>
      </c>
      <c r="J7" s="20" t="s">
        <v>25</v>
      </c>
      <c r="K7" s="19" t="s">
        <v>22</v>
      </c>
      <c r="L7" s="19" t="s">
        <v>107</v>
      </c>
    </row>
    <row r="8" customFormat="false" ht="22.35" hidden="false" customHeight="false" outlineLevel="0" collapsed="false">
      <c r="A8" s="19" t="s">
        <v>108</v>
      </c>
      <c r="B8" s="19" t="s">
        <v>87</v>
      </c>
      <c r="C8" s="19" t="s">
        <v>88</v>
      </c>
      <c r="D8" s="19" t="s">
        <v>73</v>
      </c>
      <c r="E8" s="19" t="s">
        <v>109</v>
      </c>
      <c r="F8" s="19" t="s">
        <v>110</v>
      </c>
      <c r="G8" s="19" t="s">
        <v>111</v>
      </c>
      <c r="H8" s="19" t="s">
        <v>112</v>
      </c>
      <c r="I8" s="19" t="s">
        <v>113</v>
      </c>
      <c r="J8" s="20" t="s">
        <v>25</v>
      </c>
      <c r="K8" s="19" t="s">
        <v>20</v>
      </c>
      <c r="L8" s="19"/>
    </row>
    <row r="9" customFormat="false" ht="43.25" hidden="false" customHeight="false" outlineLevel="0" collapsed="false">
      <c r="A9" s="19" t="s">
        <v>114</v>
      </c>
      <c r="B9" s="19" t="s">
        <v>87</v>
      </c>
      <c r="C9" s="19" t="s">
        <v>115</v>
      </c>
      <c r="D9" s="19" t="s">
        <v>65</v>
      </c>
      <c r="E9" s="19" t="s">
        <v>116</v>
      </c>
      <c r="F9" s="19" t="s">
        <v>117</v>
      </c>
      <c r="G9" s="19" t="s">
        <v>118</v>
      </c>
      <c r="H9" s="19" t="s">
        <v>119</v>
      </c>
      <c r="I9" s="19" t="s">
        <v>120</v>
      </c>
      <c r="J9" s="20" t="s">
        <v>20</v>
      </c>
      <c r="K9" s="19" t="s">
        <v>20</v>
      </c>
      <c r="L9" s="19" t="s">
        <v>121</v>
      </c>
    </row>
    <row r="10" customFormat="false" ht="32.8" hidden="false" customHeight="false" outlineLevel="0" collapsed="false">
      <c r="A10" s="19" t="s">
        <v>122</v>
      </c>
      <c r="B10" s="19" t="s">
        <v>123</v>
      </c>
      <c r="C10" s="19" t="s">
        <v>124</v>
      </c>
      <c r="D10" s="19" t="s">
        <v>73</v>
      </c>
      <c r="E10" s="19" t="s">
        <v>125</v>
      </c>
      <c r="F10" s="19" t="s">
        <v>126</v>
      </c>
      <c r="G10" s="19" t="s">
        <v>127</v>
      </c>
      <c r="H10" s="19" t="s">
        <v>128</v>
      </c>
      <c r="I10" s="19" t="s">
        <v>129</v>
      </c>
      <c r="J10" s="20" t="s">
        <v>20</v>
      </c>
      <c r="K10" s="19" t="s">
        <v>22</v>
      </c>
      <c r="L10" s="19" t="s">
        <v>130</v>
      </c>
    </row>
    <row r="11" customFormat="false" ht="32.8" hidden="false" customHeight="false" outlineLevel="0" collapsed="false">
      <c r="A11" s="19" t="s">
        <v>131</v>
      </c>
      <c r="B11" s="19" t="s">
        <v>123</v>
      </c>
      <c r="C11" s="19" t="s">
        <v>132</v>
      </c>
      <c r="D11" s="19" t="s">
        <v>73</v>
      </c>
      <c r="E11" s="19" t="s">
        <v>133</v>
      </c>
      <c r="F11" s="19" t="s">
        <v>134</v>
      </c>
      <c r="G11" s="19" t="s">
        <v>135</v>
      </c>
      <c r="H11" s="19" t="s">
        <v>136</v>
      </c>
      <c r="I11" s="19" t="s">
        <v>137</v>
      </c>
      <c r="J11" s="20" t="s">
        <v>20</v>
      </c>
      <c r="K11" s="19" t="s">
        <v>22</v>
      </c>
      <c r="L11" s="19" t="s">
        <v>138</v>
      </c>
    </row>
    <row r="12" customFormat="false" ht="32.8" hidden="false" customHeight="false" outlineLevel="0" collapsed="false">
      <c r="A12" s="19" t="s">
        <v>139</v>
      </c>
      <c r="B12" s="19" t="s">
        <v>123</v>
      </c>
      <c r="C12" s="19" t="s">
        <v>124</v>
      </c>
      <c r="D12" s="19" t="s">
        <v>73</v>
      </c>
      <c r="E12" s="19" t="s">
        <v>140</v>
      </c>
      <c r="F12" s="19" t="s">
        <v>141</v>
      </c>
      <c r="G12" s="19" t="s">
        <v>142</v>
      </c>
      <c r="H12" s="19" t="s">
        <v>143</v>
      </c>
      <c r="I12" s="19" t="s">
        <v>144</v>
      </c>
      <c r="J12" s="20" t="s">
        <v>20</v>
      </c>
      <c r="K12" s="19" t="s">
        <v>20</v>
      </c>
      <c r="L12" s="19"/>
    </row>
    <row r="13" customFormat="false" ht="43.25" hidden="false" customHeight="false" outlineLevel="0" collapsed="false">
      <c r="A13" s="19" t="s">
        <v>145</v>
      </c>
      <c r="B13" s="19" t="s">
        <v>146</v>
      </c>
      <c r="C13" s="19" t="s">
        <v>147</v>
      </c>
      <c r="D13" s="19" t="s">
        <v>65</v>
      </c>
      <c r="E13" s="19" t="s">
        <v>148</v>
      </c>
      <c r="F13" s="19" t="s">
        <v>149</v>
      </c>
      <c r="G13" s="19" t="s">
        <v>150</v>
      </c>
      <c r="H13" s="19" t="s">
        <v>151</v>
      </c>
      <c r="I13" s="19" t="s">
        <v>152</v>
      </c>
      <c r="J13" s="20" t="s">
        <v>20</v>
      </c>
      <c r="K13" s="19" t="s">
        <v>20</v>
      </c>
      <c r="L13" s="19" t="s">
        <v>153</v>
      </c>
    </row>
    <row r="14" customFormat="false" ht="22.35" hidden="false" customHeight="false" outlineLevel="0" collapsed="false">
      <c r="A14" s="19" t="s">
        <v>154</v>
      </c>
      <c r="B14" s="19" t="s">
        <v>146</v>
      </c>
      <c r="C14" s="19" t="s">
        <v>155</v>
      </c>
      <c r="D14" s="19" t="s">
        <v>65</v>
      </c>
      <c r="E14" s="19" t="s">
        <v>156</v>
      </c>
      <c r="F14" s="19" t="s">
        <v>149</v>
      </c>
      <c r="G14" s="19" t="s">
        <v>157</v>
      </c>
      <c r="H14" s="19" t="s">
        <v>158</v>
      </c>
      <c r="I14" s="19" t="s">
        <v>159</v>
      </c>
      <c r="J14" s="20" t="s">
        <v>20</v>
      </c>
      <c r="K14" s="19" t="s">
        <v>20</v>
      </c>
      <c r="L14" s="19"/>
    </row>
    <row r="15" customFormat="false" ht="32.8" hidden="false" customHeight="false" outlineLevel="0" collapsed="false">
      <c r="A15" s="19" t="s">
        <v>160</v>
      </c>
      <c r="B15" s="19" t="s">
        <v>146</v>
      </c>
      <c r="C15" s="19" t="s">
        <v>161</v>
      </c>
      <c r="D15" s="19" t="s">
        <v>65</v>
      </c>
      <c r="E15" s="19" t="s">
        <v>162</v>
      </c>
      <c r="F15" s="19" t="s">
        <v>149</v>
      </c>
      <c r="G15" s="19" t="s">
        <v>163</v>
      </c>
      <c r="H15" s="19" t="s">
        <v>164</v>
      </c>
      <c r="I15" s="19" t="s">
        <v>165</v>
      </c>
      <c r="J15" s="20" t="s">
        <v>20</v>
      </c>
      <c r="K15" s="19" t="s">
        <v>20</v>
      </c>
      <c r="L15" s="19"/>
    </row>
    <row r="16" customFormat="false" ht="32.8" hidden="false" customHeight="false" outlineLevel="0" collapsed="false">
      <c r="A16" s="19" t="s">
        <v>166</v>
      </c>
      <c r="B16" s="19" t="s">
        <v>146</v>
      </c>
      <c r="C16" s="19" t="s">
        <v>167</v>
      </c>
      <c r="D16" s="19" t="s">
        <v>65</v>
      </c>
      <c r="E16" s="19" t="s">
        <v>168</v>
      </c>
      <c r="F16" s="19" t="s">
        <v>169</v>
      </c>
      <c r="G16" s="19" t="s">
        <v>170</v>
      </c>
      <c r="H16" s="19" t="s">
        <v>171</v>
      </c>
      <c r="I16" s="19" t="s">
        <v>172</v>
      </c>
      <c r="J16" s="20" t="s">
        <v>20</v>
      </c>
      <c r="K16" s="19" t="s">
        <v>20</v>
      </c>
      <c r="L16" s="19"/>
    </row>
    <row r="17" customFormat="false" ht="22.35" hidden="false" customHeight="false" outlineLevel="0" collapsed="false">
      <c r="A17" s="19" t="s">
        <v>173</v>
      </c>
      <c r="B17" s="19" t="s">
        <v>146</v>
      </c>
      <c r="C17" s="19" t="s">
        <v>174</v>
      </c>
      <c r="D17" s="19" t="s">
        <v>65</v>
      </c>
      <c r="E17" s="19" t="s">
        <v>175</v>
      </c>
      <c r="F17" s="19" t="s">
        <v>176</v>
      </c>
      <c r="G17" s="19" t="s">
        <v>177</v>
      </c>
      <c r="H17" s="19" t="s">
        <v>178</v>
      </c>
      <c r="I17" s="19" t="s">
        <v>179</v>
      </c>
      <c r="J17" s="20" t="s">
        <v>20</v>
      </c>
      <c r="K17" s="19" t="s">
        <v>22</v>
      </c>
      <c r="L17" s="19" t="s">
        <v>180</v>
      </c>
    </row>
    <row r="18" customFormat="false" ht="22.35" hidden="false" customHeight="false" outlineLevel="0" collapsed="false">
      <c r="A18" s="19" t="s">
        <v>181</v>
      </c>
      <c r="B18" s="19" t="s">
        <v>146</v>
      </c>
      <c r="C18" s="19" t="s">
        <v>155</v>
      </c>
      <c r="D18" s="19" t="s">
        <v>65</v>
      </c>
      <c r="E18" s="19" t="s">
        <v>182</v>
      </c>
      <c r="F18" s="19" t="s">
        <v>149</v>
      </c>
      <c r="G18" s="19" t="s">
        <v>183</v>
      </c>
      <c r="H18" s="19" t="s">
        <v>184</v>
      </c>
      <c r="I18" s="19" t="s">
        <v>185</v>
      </c>
      <c r="J18" s="20" t="s">
        <v>20</v>
      </c>
      <c r="K18" s="19" t="s">
        <v>20</v>
      </c>
      <c r="L18" s="19"/>
    </row>
    <row r="19" customFormat="false" ht="22.35" hidden="false" customHeight="false" outlineLevel="0" collapsed="false">
      <c r="A19" s="19" t="s">
        <v>186</v>
      </c>
      <c r="B19" s="19" t="s">
        <v>146</v>
      </c>
      <c r="C19" s="19" t="s">
        <v>155</v>
      </c>
      <c r="D19" s="19" t="s">
        <v>65</v>
      </c>
      <c r="E19" s="19" t="s">
        <v>187</v>
      </c>
      <c r="F19" s="19" t="s">
        <v>149</v>
      </c>
      <c r="G19" s="19" t="s">
        <v>188</v>
      </c>
      <c r="H19" s="19" t="s">
        <v>189</v>
      </c>
      <c r="I19" s="19" t="s">
        <v>190</v>
      </c>
      <c r="J19" s="20" t="s">
        <v>20</v>
      </c>
      <c r="K19" s="19" t="s">
        <v>20</v>
      </c>
      <c r="L19" s="19"/>
    </row>
    <row r="20" customFormat="false" ht="32.8" hidden="false" customHeight="false" outlineLevel="0" collapsed="false">
      <c r="A20" s="19" t="s">
        <v>191</v>
      </c>
      <c r="B20" s="19" t="s">
        <v>146</v>
      </c>
      <c r="C20" s="19" t="s">
        <v>192</v>
      </c>
      <c r="D20" s="19" t="s">
        <v>65</v>
      </c>
      <c r="E20" s="19" t="s">
        <v>193</v>
      </c>
      <c r="F20" s="19" t="s">
        <v>149</v>
      </c>
      <c r="G20" s="19" t="s">
        <v>194</v>
      </c>
      <c r="H20" s="19" t="s">
        <v>195</v>
      </c>
      <c r="I20" s="19" t="s">
        <v>196</v>
      </c>
      <c r="J20" s="20" t="s">
        <v>20</v>
      </c>
      <c r="K20" s="19" t="s">
        <v>20</v>
      </c>
      <c r="L20" s="19" t="s">
        <v>153</v>
      </c>
    </row>
    <row r="21" customFormat="false" ht="43.25" hidden="false" customHeight="false" outlineLevel="0" collapsed="false">
      <c r="A21" s="19" t="s">
        <v>197</v>
      </c>
      <c r="B21" s="19" t="s">
        <v>146</v>
      </c>
      <c r="C21" s="19" t="s">
        <v>198</v>
      </c>
      <c r="D21" s="19" t="s">
        <v>65</v>
      </c>
      <c r="E21" s="19" t="s">
        <v>199</v>
      </c>
      <c r="F21" s="19" t="s">
        <v>200</v>
      </c>
      <c r="G21" s="19" t="s">
        <v>201</v>
      </c>
      <c r="H21" s="19" t="s">
        <v>202</v>
      </c>
      <c r="I21" s="19" t="s">
        <v>203</v>
      </c>
      <c r="J21" s="20" t="s">
        <v>20</v>
      </c>
      <c r="K21" s="19" t="s">
        <v>20</v>
      </c>
      <c r="L21" s="19" t="s">
        <v>204</v>
      </c>
    </row>
    <row r="22" customFormat="false" ht="43.25" hidden="false" customHeight="false" outlineLevel="0" collapsed="false">
      <c r="A22" s="19" t="s">
        <v>205</v>
      </c>
      <c r="B22" s="19" t="s">
        <v>146</v>
      </c>
      <c r="C22" s="19" t="s">
        <v>206</v>
      </c>
      <c r="D22" s="19" t="s">
        <v>65</v>
      </c>
      <c r="E22" s="19" t="s">
        <v>207</v>
      </c>
      <c r="F22" s="19" t="s">
        <v>208</v>
      </c>
      <c r="G22" s="19" t="s">
        <v>209</v>
      </c>
      <c r="H22" s="19" t="s">
        <v>210</v>
      </c>
      <c r="I22" s="19" t="s">
        <v>211</v>
      </c>
      <c r="J22" s="20" t="s">
        <v>20</v>
      </c>
      <c r="K22" s="19" t="s">
        <v>21</v>
      </c>
      <c r="L22" s="19" t="s">
        <v>212</v>
      </c>
    </row>
    <row r="23" customFormat="false" ht="64.15" hidden="false" customHeight="false" outlineLevel="0" collapsed="false">
      <c r="A23" s="19" t="s">
        <v>213</v>
      </c>
      <c r="B23" s="19" t="s">
        <v>214</v>
      </c>
      <c r="C23" s="19" t="s">
        <v>215</v>
      </c>
      <c r="D23" s="19" t="s">
        <v>65</v>
      </c>
      <c r="E23" s="19" t="s">
        <v>216</v>
      </c>
      <c r="F23" s="19" t="s">
        <v>217</v>
      </c>
      <c r="G23" s="19" t="s">
        <v>218</v>
      </c>
      <c r="H23" s="19" t="s">
        <v>219</v>
      </c>
      <c r="I23" s="19" t="s">
        <v>220</v>
      </c>
      <c r="J23" s="20" t="s">
        <v>20</v>
      </c>
      <c r="K23" s="19" t="s">
        <v>22</v>
      </c>
      <c r="L23" s="19" t="s">
        <v>221</v>
      </c>
    </row>
    <row r="24" customFormat="false" ht="22.35" hidden="false" customHeight="false" outlineLevel="0" collapsed="false">
      <c r="A24" s="19" t="s">
        <v>222</v>
      </c>
      <c r="B24" s="19" t="s">
        <v>223</v>
      </c>
      <c r="C24" s="19" t="s">
        <v>224</v>
      </c>
      <c r="D24" s="19" t="s">
        <v>73</v>
      </c>
      <c r="E24" s="19" t="s">
        <v>225</v>
      </c>
      <c r="F24" s="19" t="s">
        <v>226</v>
      </c>
      <c r="G24" s="19" t="s">
        <v>227</v>
      </c>
      <c r="H24" s="19" t="s">
        <v>228</v>
      </c>
      <c r="I24" s="19" t="s">
        <v>229</v>
      </c>
      <c r="J24" s="20" t="s">
        <v>20</v>
      </c>
      <c r="K24" s="19" t="s">
        <v>21</v>
      </c>
      <c r="L24" s="19" t="s">
        <v>230</v>
      </c>
    </row>
    <row r="25" customFormat="false" ht="43.25" hidden="false" customHeight="false" outlineLevel="0" collapsed="false">
      <c r="A25" s="19" t="s">
        <v>231</v>
      </c>
      <c r="B25" s="19" t="s">
        <v>223</v>
      </c>
      <c r="C25" s="19" t="s">
        <v>232</v>
      </c>
      <c r="D25" s="19" t="s">
        <v>65</v>
      </c>
      <c r="E25" s="19" t="s">
        <v>233</v>
      </c>
      <c r="F25" s="19" t="s">
        <v>234</v>
      </c>
      <c r="G25" s="19" t="s">
        <v>235</v>
      </c>
      <c r="H25" s="19" t="s">
        <v>236</v>
      </c>
      <c r="I25" s="19" t="s">
        <v>237</v>
      </c>
      <c r="J25" s="20" t="s">
        <v>20</v>
      </c>
      <c r="K25" s="19" t="s">
        <v>22</v>
      </c>
      <c r="L25" s="19" t="s">
        <v>180</v>
      </c>
    </row>
    <row r="26" customFormat="false" ht="22.35" hidden="false" customHeight="false" outlineLevel="0" collapsed="false">
      <c r="A26" s="19" t="s">
        <v>238</v>
      </c>
      <c r="B26" s="19" t="s">
        <v>146</v>
      </c>
      <c r="C26" s="19" t="s">
        <v>206</v>
      </c>
      <c r="D26" s="19" t="s">
        <v>65</v>
      </c>
      <c r="E26" s="19" t="s">
        <v>239</v>
      </c>
      <c r="F26" s="19" t="s">
        <v>240</v>
      </c>
      <c r="G26" s="19" t="s">
        <v>241</v>
      </c>
      <c r="H26" s="19" t="s">
        <v>242</v>
      </c>
      <c r="I26" s="19" t="s">
        <v>243</v>
      </c>
      <c r="J26" s="20" t="s">
        <v>20</v>
      </c>
      <c r="K26" s="19" t="s">
        <v>20</v>
      </c>
      <c r="L26" s="19"/>
    </row>
    <row r="27" customFormat="false" ht="32.8" hidden="false" customHeight="false" outlineLevel="0" collapsed="false">
      <c r="A27" s="19" t="s">
        <v>244</v>
      </c>
      <c r="B27" s="19" t="s">
        <v>146</v>
      </c>
      <c r="C27" s="19" t="s">
        <v>245</v>
      </c>
      <c r="D27" s="19" t="s">
        <v>246</v>
      </c>
      <c r="E27" s="19" t="s">
        <v>247</v>
      </c>
      <c r="F27" s="19" t="s">
        <v>248</v>
      </c>
      <c r="G27" s="19" t="s">
        <v>249</v>
      </c>
      <c r="H27" s="19" t="s">
        <v>250</v>
      </c>
      <c r="I27" s="19" t="s">
        <v>251</v>
      </c>
      <c r="J27" s="20" t="s">
        <v>20</v>
      </c>
      <c r="K27" s="19" t="s">
        <v>20</v>
      </c>
      <c r="L27" s="19"/>
    </row>
    <row r="28" customFormat="false" ht="22.35" hidden="false" customHeight="false" outlineLevel="0" collapsed="false">
      <c r="A28" s="19" t="s">
        <v>252</v>
      </c>
      <c r="B28" s="19" t="s">
        <v>253</v>
      </c>
      <c r="C28" s="19" t="s">
        <v>254</v>
      </c>
      <c r="D28" s="19" t="s">
        <v>65</v>
      </c>
      <c r="E28" s="19" t="s">
        <v>255</v>
      </c>
      <c r="F28" s="19" t="s">
        <v>256</v>
      </c>
      <c r="G28" s="19" t="s">
        <v>257</v>
      </c>
      <c r="H28" s="19" t="s">
        <v>258</v>
      </c>
      <c r="I28" s="19" t="s">
        <v>259</v>
      </c>
      <c r="J28" s="20" t="s">
        <v>20</v>
      </c>
      <c r="K28" s="19" t="s">
        <v>20</v>
      </c>
      <c r="L28" s="19"/>
    </row>
    <row r="29" customFormat="false" ht="22.35" hidden="false" customHeight="false" outlineLevel="0" collapsed="false">
      <c r="A29" s="19" t="s">
        <v>260</v>
      </c>
      <c r="B29" s="19" t="s">
        <v>253</v>
      </c>
      <c r="C29" s="19" t="s">
        <v>261</v>
      </c>
      <c r="D29" s="19" t="s">
        <v>246</v>
      </c>
      <c r="E29" s="19" t="s">
        <v>262</v>
      </c>
      <c r="F29" s="19" t="s">
        <v>263</v>
      </c>
      <c r="G29" s="19" t="s">
        <v>263</v>
      </c>
      <c r="H29" s="19" t="s">
        <v>264</v>
      </c>
      <c r="I29" s="19" t="s">
        <v>265</v>
      </c>
      <c r="J29" s="20" t="s">
        <v>26</v>
      </c>
      <c r="K29" s="19" t="s">
        <v>26</v>
      </c>
      <c r="L29" s="19"/>
    </row>
    <row r="30" customFormat="false" ht="22.35" hidden="false" customHeight="false" outlineLevel="0" collapsed="false">
      <c r="A30" s="19" t="s">
        <v>266</v>
      </c>
      <c r="B30" s="19" t="s">
        <v>253</v>
      </c>
      <c r="C30" s="19" t="s">
        <v>267</v>
      </c>
      <c r="D30" s="19" t="s">
        <v>65</v>
      </c>
      <c r="E30" s="19" t="s">
        <v>268</v>
      </c>
      <c r="F30" s="19" t="s">
        <v>269</v>
      </c>
      <c r="G30" s="19" t="s">
        <v>270</v>
      </c>
      <c r="H30" s="19" t="s">
        <v>271</v>
      </c>
      <c r="I30" s="19" t="s">
        <v>272</v>
      </c>
      <c r="J30" s="20" t="s">
        <v>20</v>
      </c>
      <c r="K30" s="19" t="s">
        <v>20</v>
      </c>
      <c r="L30" s="19" t="s">
        <v>273</v>
      </c>
    </row>
    <row r="31" customFormat="false" ht="22.35" hidden="false" customHeight="false" outlineLevel="0" collapsed="false">
      <c r="A31" s="19" t="s">
        <v>274</v>
      </c>
      <c r="B31" s="19" t="s">
        <v>253</v>
      </c>
      <c r="C31" s="19" t="s">
        <v>275</v>
      </c>
      <c r="D31" s="19" t="s">
        <v>73</v>
      </c>
      <c r="E31" s="19" t="s">
        <v>276</v>
      </c>
      <c r="F31" s="19" t="s">
        <v>277</v>
      </c>
      <c r="G31" s="19" t="s">
        <v>278</v>
      </c>
      <c r="H31" s="19" t="s">
        <v>279</v>
      </c>
      <c r="I31" s="19" t="s">
        <v>280</v>
      </c>
      <c r="J31" s="20" t="s">
        <v>23</v>
      </c>
      <c r="K31" s="19" t="s">
        <v>23</v>
      </c>
      <c r="L31" s="19" t="s">
        <v>281</v>
      </c>
    </row>
    <row r="32" customFormat="false" ht="22.35" hidden="false" customHeight="false" outlineLevel="0" collapsed="false">
      <c r="A32" s="19" t="s">
        <v>282</v>
      </c>
      <c r="B32" s="19" t="s">
        <v>253</v>
      </c>
      <c r="C32" s="19" t="s">
        <v>283</v>
      </c>
      <c r="D32" s="19" t="s">
        <v>65</v>
      </c>
      <c r="E32" s="19" t="s">
        <v>284</v>
      </c>
      <c r="F32" s="19" t="s">
        <v>285</v>
      </c>
      <c r="G32" s="19" t="s">
        <v>286</v>
      </c>
      <c r="H32" s="19" t="s">
        <v>287</v>
      </c>
      <c r="I32" s="19" t="s">
        <v>288</v>
      </c>
      <c r="J32" s="20" t="s">
        <v>20</v>
      </c>
      <c r="K32" s="19" t="s">
        <v>21</v>
      </c>
      <c r="L32" s="19" t="s">
        <v>289</v>
      </c>
    </row>
    <row r="33" customFormat="false" ht="22.35" hidden="false" customHeight="false" outlineLevel="0" collapsed="false">
      <c r="A33" s="19" t="s">
        <v>290</v>
      </c>
      <c r="B33" s="19" t="s">
        <v>253</v>
      </c>
      <c r="C33" s="19" t="s">
        <v>291</v>
      </c>
      <c r="D33" s="19" t="s">
        <v>246</v>
      </c>
      <c r="E33" s="19" t="s">
        <v>292</v>
      </c>
      <c r="F33" s="19" t="s">
        <v>293</v>
      </c>
      <c r="G33" s="19" t="s">
        <v>294</v>
      </c>
      <c r="H33" s="19" t="s">
        <v>295</v>
      </c>
      <c r="I33" s="19" t="s">
        <v>296</v>
      </c>
      <c r="J33" s="20" t="s">
        <v>20</v>
      </c>
      <c r="K33" s="19" t="s">
        <v>20</v>
      </c>
      <c r="L33" s="19"/>
    </row>
    <row r="34" customFormat="false" ht="43.25" hidden="false" customHeight="false" outlineLevel="0" collapsed="false">
      <c r="A34" s="19" t="s">
        <v>297</v>
      </c>
      <c r="B34" s="19" t="s">
        <v>298</v>
      </c>
      <c r="C34" s="19" t="s">
        <v>299</v>
      </c>
      <c r="D34" s="19" t="s">
        <v>65</v>
      </c>
      <c r="E34" s="19" t="s">
        <v>300</v>
      </c>
      <c r="F34" s="19" t="s">
        <v>301</v>
      </c>
      <c r="G34" s="19" t="s">
        <v>302</v>
      </c>
      <c r="H34" s="19" t="s">
        <v>303</v>
      </c>
      <c r="I34" s="19" t="s">
        <v>304</v>
      </c>
      <c r="J34" s="20" t="s">
        <v>22</v>
      </c>
      <c r="K34" s="19" t="s">
        <v>24</v>
      </c>
      <c r="L34" s="19" t="s">
        <v>153</v>
      </c>
    </row>
    <row r="35" customFormat="false" ht="43.25" hidden="false" customHeight="false" outlineLevel="0" collapsed="false">
      <c r="A35" s="19" t="s">
        <v>305</v>
      </c>
      <c r="B35" s="19" t="s">
        <v>298</v>
      </c>
      <c r="C35" s="19" t="s">
        <v>306</v>
      </c>
      <c r="D35" s="19" t="s">
        <v>65</v>
      </c>
      <c r="E35" s="19" t="s">
        <v>307</v>
      </c>
      <c r="F35" s="19" t="s">
        <v>308</v>
      </c>
      <c r="G35" s="19" t="s">
        <v>309</v>
      </c>
      <c r="H35" s="19" t="s">
        <v>310</v>
      </c>
      <c r="I35" s="19" t="s">
        <v>311</v>
      </c>
      <c r="J35" s="20" t="s">
        <v>24</v>
      </c>
      <c r="K35" s="19" t="s">
        <v>24</v>
      </c>
      <c r="L35" s="19" t="s">
        <v>312</v>
      </c>
    </row>
    <row r="36" customFormat="false" ht="22.35" hidden="false" customHeight="false" outlineLevel="0" collapsed="false">
      <c r="A36" s="19" t="s">
        <v>313</v>
      </c>
      <c r="B36" s="19" t="s">
        <v>298</v>
      </c>
      <c r="C36" s="19" t="s">
        <v>314</v>
      </c>
      <c r="D36" s="19" t="s">
        <v>65</v>
      </c>
      <c r="E36" s="19" t="s">
        <v>315</v>
      </c>
      <c r="F36" s="19" t="s">
        <v>316</v>
      </c>
      <c r="G36" s="19" t="s">
        <v>317</v>
      </c>
      <c r="H36" s="19" t="s">
        <v>318</v>
      </c>
      <c r="I36" s="19" t="s">
        <v>319</v>
      </c>
      <c r="J36" s="20" t="s">
        <v>23</v>
      </c>
      <c r="K36" s="19" t="s">
        <v>23</v>
      </c>
      <c r="L36" s="19" t="s">
        <v>320</v>
      </c>
    </row>
    <row r="37" customFormat="false" ht="43.25" hidden="false" customHeight="false" outlineLevel="0" collapsed="false">
      <c r="A37" s="19" t="s">
        <v>321</v>
      </c>
      <c r="B37" s="19" t="s">
        <v>298</v>
      </c>
      <c r="C37" s="19" t="s">
        <v>322</v>
      </c>
      <c r="D37" s="19" t="s">
        <v>65</v>
      </c>
      <c r="E37" s="19" t="s">
        <v>323</v>
      </c>
      <c r="F37" s="19" t="s">
        <v>324</v>
      </c>
      <c r="G37" s="19" t="s">
        <v>325</v>
      </c>
      <c r="H37" s="19" t="s">
        <v>326</v>
      </c>
      <c r="I37" s="19" t="s">
        <v>327</v>
      </c>
      <c r="J37" s="20" t="s">
        <v>20</v>
      </c>
      <c r="K37" s="19" t="s">
        <v>24</v>
      </c>
      <c r="L37" s="19"/>
    </row>
    <row r="38" customFormat="false" ht="43.25" hidden="false" customHeight="false" outlineLevel="0" collapsed="false">
      <c r="A38" s="19" t="s">
        <v>328</v>
      </c>
      <c r="B38" s="19" t="s">
        <v>298</v>
      </c>
      <c r="C38" s="19" t="s">
        <v>329</v>
      </c>
      <c r="D38" s="19" t="s">
        <v>73</v>
      </c>
      <c r="E38" s="19" t="s">
        <v>330</v>
      </c>
      <c r="F38" s="19" t="s">
        <v>331</v>
      </c>
      <c r="G38" s="19" t="s">
        <v>332</v>
      </c>
      <c r="H38" s="19" t="s">
        <v>333</v>
      </c>
      <c r="I38" s="19" t="s">
        <v>334</v>
      </c>
      <c r="J38" s="20" t="s">
        <v>20</v>
      </c>
      <c r="K38" s="19" t="s">
        <v>22</v>
      </c>
      <c r="L38" s="19" t="s">
        <v>153</v>
      </c>
    </row>
    <row r="39" customFormat="false" ht="22.35" hidden="false" customHeight="false" outlineLevel="0" collapsed="false">
      <c r="A39" s="19" t="s">
        <v>335</v>
      </c>
      <c r="B39" s="19" t="s">
        <v>336</v>
      </c>
      <c r="C39" s="19" t="s">
        <v>337</v>
      </c>
      <c r="D39" s="19" t="s">
        <v>65</v>
      </c>
      <c r="E39" s="19" t="s">
        <v>338</v>
      </c>
      <c r="F39" s="19" t="s">
        <v>339</v>
      </c>
      <c r="G39" s="19" t="s">
        <v>340</v>
      </c>
      <c r="H39" s="19" t="s">
        <v>341</v>
      </c>
      <c r="I39" s="19" t="s">
        <v>342</v>
      </c>
      <c r="J39" s="20" t="s">
        <v>20</v>
      </c>
      <c r="K39" s="19" t="s">
        <v>20</v>
      </c>
      <c r="L39" s="19"/>
    </row>
    <row r="40" customFormat="false" ht="74.6" hidden="false" customHeight="false" outlineLevel="0" collapsed="false">
      <c r="A40" s="19" t="s">
        <v>343</v>
      </c>
      <c r="B40" s="19" t="s">
        <v>336</v>
      </c>
      <c r="C40" s="19" t="s">
        <v>344</v>
      </c>
      <c r="D40" s="19" t="s">
        <v>65</v>
      </c>
      <c r="E40" s="19" t="s">
        <v>345</v>
      </c>
      <c r="F40" s="19" t="s">
        <v>346</v>
      </c>
      <c r="G40" s="19" t="s">
        <v>347</v>
      </c>
      <c r="H40" s="19" t="s">
        <v>348</v>
      </c>
      <c r="I40" s="19" t="s">
        <v>349</v>
      </c>
      <c r="J40" s="20" t="s">
        <v>20</v>
      </c>
      <c r="K40" s="19" t="s">
        <v>20</v>
      </c>
      <c r="L40" s="19" t="s">
        <v>350</v>
      </c>
    </row>
    <row r="41" customFormat="false" ht="32.8" hidden="false" customHeight="false" outlineLevel="0" collapsed="false">
      <c r="A41" s="19" t="s">
        <v>351</v>
      </c>
      <c r="B41" s="19" t="s">
        <v>336</v>
      </c>
      <c r="C41" s="19" t="s">
        <v>352</v>
      </c>
      <c r="D41" s="19" t="s">
        <v>65</v>
      </c>
      <c r="E41" s="19" t="s">
        <v>353</v>
      </c>
      <c r="F41" s="19" t="s">
        <v>354</v>
      </c>
      <c r="G41" s="19" t="s">
        <v>355</v>
      </c>
      <c r="H41" s="19" t="s">
        <v>356</v>
      </c>
      <c r="I41" s="19" t="s">
        <v>357</v>
      </c>
      <c r="J41" s="20" t="s">
        <v>20</v>
      </c>
      <c r="K41" s="19" t="s">
        <v>20</v>
      </c>
      <c r="L41" s="19"/>
    </row>
    <row r="42" customFormat="false" ht="22.35" hidden="false" customHeight="false" outlineLevel="0" collapsed="false">
      <c r="A42" s="19" t="s">
        <v>358</v>
      </c>
      <c r="B42" s="19" t="s">
        <v>359</v>
      </c>
      <c r="C42" s="19" t="s">
        <v>360</v>
      </c>
      <c r="D42" s="19" t="s">
        <v>73</v>
      </c>
      <c r="E42" s="19" t="s">
        <v>361</v>
      </c>
      <c r="F42" s="19" t="s">
        <v>362</v>
      </c>
      <c r="G42" s="19" t="s">
        <v>363</v>
      </c>
      <c r="H42" s="19" t="s">
        <v>364</v>
      </c>
      <c r="I42" s="19" t="s">
        <v>365</v>
      </c>
      <c r="J42" s="20" t="s">
        <v>20</v>
      </c>
      <c r="K42" s="19" t="s">
        <v>21</v>
      </c>
      <c r="L42" s="19" t="s">
        <v>366</v>
      </c>
    </row>
    <row r="43" customFormat="false" ht="64.15" hidden="false" customHeight="false" outlineLevel="0" collapsed="false">
      <c r="A43" s="19" t="s">
        <v>367</v>
      </c>
      <c r="B43" s="19" t="s">
        <v>359</v>
      </c>
      <c r="C43" s="19" t="s">
        <v>368</v>
      </c>
      <c r="D43" s="19" t="s">
        <v>65</v>
      </c>
      <c r="E43" s="19" t="s">
        <v>369</v>
      </c>
      <c r="F43" s="19" t="s">
        <v>248</v>
      </c>
      <c r="G43" s="19" t="s">
        <v>370</v>
      </c>
      <c r="H43" s="19" t="s">
        <v>371</v>
      </c>
      <c r="I43" s="19" t="s">
        <v>372</v>
      </c>
      <c r="J43" s="20" t="s">
        <v>20</v>
      </c>
      <c r="K43" s="19" t="s">
        <v>21</v>
      </c>
      <c r="L43" s="19" t="s">
        <v>373</v>
      </c>
    </row>
    <row r="44" customFormat="false" ht="22.35" hidden="false" customHeight="false" outlineLevel="0" collapsed="false">
      <c r="A44" s="19" t="s">
        <v>374</v>
      </c>
      <c r="B44" s="19" t="s">
        <v>359</v>
      </c>
      <c r="C44" s="19" t="s">
        <v>375</v>
      </c>
      <c r="D44" s="19" t="s">
        <v>65</v>
      </c>
      <c r="E44" s="19" t="s">
        <v>376</v>
      </c>
      <c r="F44" s="19" t="s">
        <v>377</v>
      </c>
      <c r="G44" s="19" t="s">
        <v>378</v>
      </c>
      <c r="H44" s="19" t="s">
        <v>379</v>
      </c>
      <c r="I44" s="19" t="s">
        <v>380</v>
      </c>
      <c r="J44" s="20" t="s">
        <v>20</v>
      </c>
      <c r="K44" s="19" t="s">
        <v>23</v>
      </c>
      <c r="L44" s="19" t="s">
        <v>381</v>
      </c>
    </row>
    <row r="45" customFormat="false" ht="22.35" hidden="false" customHeight="false" outlineLevel="0" collapsed="false">
      <c r="A45" s="19" t="s">
        <v>382</v>
      </c>
      <c r="B45" s="19" t="s">
        <v>359</v>
      </c>
      <c r="C45" s="19" t="s">
        <v>375</v>
      </c>
      <c r="D45" s="19" t="s">
        <v>73</v>
      </c>
      <c r="E45" s="19" t="s">
        <v>383</v>
      </c>
      <c r="F45" s="19" t="s">
        <v>384</v>
      </c>
      <c r="G45" s="19" t="s">
        <v>385</v>
      </c>
      <c r="H45" s="19" t="s">
        <v>386</v>
      </c>
      <c r="I45" s="19" t="s">
        <v>387</v>
      </c>
      <c r="J45" s="20" t="s">
        <v>21</v>
      </c>
      <c r="K45" s="19" t="s">
        <v>22</v>
      </c>
      <c r="L45" s="19" t="s">
        <v>388</v>
      </c>
    </row>
    <row r="46" customFormat="false" ht="32.8" hidden="false" customHeight="false" outlineLevel="0" collapsed="false">
      <c r="A46" s="19" t="s">
        <v>389</v>
      </c>
      <c r="B46" s="19" t="s">
        <v>359</v>
      </c>
      <c r="C46" s="19" t="s">
        <v>368</v>
      </c>
      <c r="D46" s="19" t="s">
        <v>65</v>
      </c>
      <c r="E46" s="19" t="s">
        <v>390</v>
      </c>
      <c r="F46" s="19" t="s">
        <v>391</v>
      </c>
      <c r="G46" s="19" t="s">
        <v>392</v>
      </c>
      <c r="H46" s="19" t="s">
        <v>393</v>
      </c>
      <c r="I46" s="19" t="s">
        <v>394</v>
      </c>
      <c r="J46" s="20" t="s">
        <v>20</v>
      </c>
      <c r="K46" s="19" t="s">
        <v>21</v>
      </c>
      <c r="L46" s="19" t="s">
        <v>395</v>
      </c>
    </row>
    <row r="47" customFormat="false" ht="22.35" hidden="false" customHeight="false" outlineLevel="0" collapsed="false">
      <c r="A47" s="19" t="s">
        <v>396</v>
      </c>
      <c r="B47" s="19" t="s">
        <v>397</v>
      </c>
      <c r="C47" s="19" t="s">
        <v>398</v>
      </c>
      <c r="D47" s="19" t="s">
        <v>73</v>
      </c>
      <c r="E47" s="19" t="s">
        <v>399</v>
      </c>
      <c r="F47" s="19" t="s">
        <v>400</v>
      </c>
      <c r="G47" s="19" t="s">
        <v>401</v>
      </c>
      <c r="H47" s="19" t="s">
        <v>402</v>
      </c>
      <c r="I47" s="19" t="s">
        <v>403</v>
      </c>
      <c r="J47" s="20" t="s">
        <v>20</v>
      </c>
      <c r="K47" s="19" t="s">
        <v>20</v>
      </c>
      <c r="L47" s="19"/>
    </row>
    <row r="48" customFormat="false" ht="22.35" hidden="false" customHeight="false" outlineLevel="0" collapsed="false">
      <c r="A48" s="19" t="s">
        <v>404</v>
      </c>
      <c r="B48" s="19" t="s">
        <v>397</v>
      </c>
      <c r="C48" s="19" t="s">
        <v>405</v>
      </c>
      <c r="D48" s="19" t="s">
        <v>65</v>
      </c>
      <c r="E48" s="19" t="s">
        <v>406</v>
      </c>
      <c r="F48" s="19" t="s">
        <v>407</v>
      </c>
      <c r="G48" s="19" t="s">
        <v>408</v>
      </c>
      <c r="H48" s="19" t="s">
        <v>409</v>
      </c>
      <c r="I48" s="19" t="s">
        <v>410</v>
      </c>
      <c r="J48" s="20" t="s">
        <v>20</v>
      </c>
      <c r="K48" s="19" t="s">
        <v>20</v>
      </c>
      <c r="L48" s="19" t="s">
        <v>411</v>
      </c>
    </row>
    <row r="49" customFormat="false" ht="32.8" hidden="false" customHeight="false" outlineLevel="0" collapsed="false">
      <c r="A49" s="19" t="s">
        <v>412</v>
      </c>
      <c r="B49" s="19" t="s">
        <v>413</v>
      </c>
      <c r="C49" s="19" t="s">
        <v>414</v>
      </c>
      <c r="D49" s="19" t="s">
        <v>65</v>
      </c>
      <c r="E49" s="19" t="s">
        <v>415</v>
      </c>
      <c r="F49" s="19" t="s">
        <v>416</v>
      </c>
      <c r="G49" s="19" t="s">
        <v>417</v>
      </c>
      <c r="H49" s="19" t="s">
        <v>418</v>
      </c>
      <c r="I49" s="19" t="s">
        <v>419</v>
      </c>
      <c r="J49" s="20" t="s">
        <v>20</v>
      </c>
      <c r="K49" s="19" t="s">
        <v>21</v>
      </c>
      <c r="L49" s="19" t="s">
        <v>420</v>
      </c>
    </row>
    <row r="50" customFormat="false" ht="32.8" hidden="false" customHeight="false" outlineLevel="0" collapsed="false">
      <c r="A50" s="19" t="s">
        <v>421</v>
      </c>
      <c r="B50" s="19" t="s">
        <v>413</v>
      </c>
      <c r="C50" s="19" t="s">
        <v>422</v>
      </c>
      <c r="D50" s="19" t="s">
        <v>65</v>
      </c>
      <c r="E50" s="19" t="s">
        <v>423</v>
      </c>
      <c r="F50" s="19" t="s">
        <v>424</v>
      </c>
      <c r="G50" s="19" t="s">
        <v>425</v>
      </c>
      <c r="H50" s="19" t="s">
        <v>426</v>
      </c>
      <c r="I50" s="19" t="s">
        <v>427</v>
      </c>
      <c r="J50" s="20" t="s">
        <v>20</v>
      </c>
      <c r="K50" s="19" t="s">
        <v>21</v>
      </c>
      <c r="L50" s="19" t="s">
        <v>420</v>
      </c>
    </row>
    <row r="51" customFormat="false" ht="22.35" hidden="false" customHeight="false" outlineLevel="0" collapsed="false">
      <c r="A51" s="19" t="s">
        <v>428</v>
      </c>
      <c r="B51" s="19" t="s">
        <v>413</v>
      </c>
      <c r="C51" s="19" t="s">
        <v>422</v>
      </c>
      <c r="D51" s="19" t="s">
        <v>65</v>
      </c>
      <c r="E51" s="19" t="s">
        <v>429</v>
      </c>
      <c r="F51" s="19" t="s">
        <v>430</v>
      </c>
      <c r="G51" s="19" t="s">
        <v>431</v>
      </c>
      <c r="H51" s="19" t="s">
        <v>432</v>
      </c>
      <c r="I51" s="19" t="s">
        <v>433</v>
      </c>
      <c r="J51" s="20" t="s">
        <v>20</v>
      </c>
      <c r="K51" s="19" t="s">
        <v>21</v>
      </c>
      <c r="L51" s="19" t="s">
        <v>434</v>
      </c>
    </row>
    <row r="52" customFormat="false" ht="32.8" hidden="false" customHeight="false" outlineLevel="0" collapsed="false">
      <c r="A52" s="19" t="s">
        <v>435</v>
      </c>
      <c r="B52" s="19" t="s">
        <v>413</v>
      </c>
      <c r="C52" s="19" t="s">
        <v>422</v>
      </c>
      <c r="D52" s="19" t="s">
        <v>65</v>
      </c>
      <c r="E52" s="19" t="s">
        <v>436</v>
      </c>
      <c r="F52" s="19" t="s">
        <v>437</v>
      </c>
      <c r="G52" s="19" t="s">
        <v>438</v>
      </c>
      <c r="H52" s="19" t="s">
        <v>439</v>
      </c>
      <c r="I52" s="19" t="s">
        <v>440</v>
      </c>
      <c r="J52" s="20" t="s">
        <v>24</v>
      </c>
      <c r="K52" s="19" t="s">
        <v>24</v>
      </c>
      <c r="L52" s="19" t="s">
        <v>441</v>
      </c>
    </row>
    <row r="53" customFormat="false" ht="22.35" hidden="false" customHeight="false" outlineLevel="0" collapsed="false">
      <c r="A53" s="19" t="s">
        <v>442</v>
      </c>
      <c r="B53" s="19" t="s">
        <v>413</v>
      </c>
      <c r="C53" s="19" t="s">
        <v>443</v>
      </c>
      <c r="D53" s="19" t="s">
        <v>73</v>
      </c>
      <c r="E53" s="19" t="s">
        <v>444</v>
      </c>
      <c r="F53" s="19" t="s">
        <v>445</v>
      </c>
      <c r="G53" s="19" t="s">
        <v>446</v>
      </c>
      <c r="H53" s="19" t="s">
        <v>447</v>
      </c>
      <c r="I53" s="19" t="s">
        <v>448</v>
      </c>
      <c r="J53" s="20" t="s">
        <v>20</v>
      </c>
      <c r="K53" s="19" t="s">
        <v>22</v>
      </c>
      <c r="L53" s="19"/>
    </row>
    <row r="54" customFormat="false" ht="22.35" hidden="false" customHeight="false" outlineLevel="0" collapsed="false">
      <c r="A54" s="19" t="s">
        <v>449</v>
      </c>
      <c r="B54" s="19" t="s">
        <v>450</v>
      </c>
      <c r="C54" s="19" t="s">
        <v>451</v>
      </c>
      <c r="D54" s="19" t="s">
        <v>65</v>
      </c>
      <c r="E54" s="19" t="s">
        <v>452</v>
      </c>
      <c r="F54" s="19" t="s">
        <v>453</v>
      </c>
      <c r="G54" s="19" t="s">
        <v>454</v>
      </c>
      <c r="H54" s="19" t="s">
        <v>455</v>
      </c>
      <c r="I54" s="19" t="s">
        <v>456</v>
      </c>
      <c r="J54" s="20" t="s">
        <v>20</v>
      </c>
      <c r="K54" s="19" t="s">
        <v>20</v>
      </c>
      <c r="L54" s="19"/>
    </row>
    <row r="55" customFormat="false" ht="32.8" hidden="false" customHeight="false" outlineLevel="0" collapsed="false">
      <c r="A55" s="19" t="s">
        <v>457</v>
      </c>
      <c r="B55" s="19" t="s">
        <v>450</v>
      </c>
      <c r="C55" s="19" t="s">
        <v>458</v>
      </c>
      <c r="D55" s="19" t="s">
        <v>65</v>
      </c>
      <c r="E55" s="19" t="s">
        <v>459</v>
      </c>
      <c r="F55" s="19" t="s">
        <v>460</v>
      </c>
      <c r="G55" s="19" t="s">
        <v>461</v>
      </c>
      <c r="H55" s="19" t="s">
        <v>462</v>
      </c>
      <c r="I55" s="19" t="s">
        <v>463</v>
      </c>
      <c r="J55" s="20" t="s">
        <v>20</v>
      </c>
      <c r="K55" s="19" t="s">
        <v>22</v>
      </c>
      <c r="L55" s="19" t="s">
        <v>464</v>
      </c>
    </row>
    <row r="56" customFormat="false" ht="32.8" hidden="false" customHeight="false" outlineLevel="0" collapsed="false">
      <c r="A56" s="19" t="s">
        <v>465</v>
      </c>
      <c r="B56" s="19" t="s">
        <v>466</v>
      </c>
      <c r="C56" s="19" t="s">
        <v>467</v>
      </c>
      <c r="D56" s="19" t="s">
        <v>73</v>
      </c>
      <c r="E56" s="19" t="s">
        <v>468</v>
      </c>
      <c r="F56" s="19" t="s">
        <v>469</v>
      </c>
      <c r="G56" s="19" t="s">
        <v>470</v>
      </c>
      <c r="H56" s="19" t="s">
        <v>471</v>
      </c>
      <c r="I56" s="19" t="s">
        <v>472</v>
      </c>
      <c r="J56" s="20" t="s">
        <v>20</v>
      </c>
      <c r="K56" s="19" t="s">
        <v>20</v>
      </c>
      <c r="L56" s="19"/>
    </row>
    <row r="57" customFormat="false" ht="22.35" hidden="false" customHeight="false" outlineLevel="0" collapsed="false">
      <c r="A57" s="19" t="s">
        <v>473</v>
      </c>
      <c r="B57" s="19" t="s">
        <v>466</v>
      </c>
      <c r="C57" s="19" t="s">
        <v>467</v>
      </c>
      <c r="D57" s="19" t="s">
        <v>73</v>
      </c>
      <c r="E57" s="19" t="s">
        <v>474</v>
      </c>
      <c r="F57" s="19" t="s">
        <v>475</v>
      </c>
      <c r="G57" s="19" t="s">
        <v>476</v>
      </c>
      <c r="H57" s="19" t="s">
        <v>477</v>
      </c>
      <c r="I57" s="19" t="s">
        <v>478</v>
      </c>
      <c r="J57" s="20" t="s">
        <v>20</v>
      </c>
      <c r="K57" s="19" t="s">
        <v>20</v>
      </c>
      <c r="L57" s="19"/>
    </row>
    <row r="58" customFormat="false" ht="22.35" hidden="false" customHeight="false" outlineLevel="0" collapsed="false">
      <c r="A58" s="19" t="s">
        <v>479</v>
      </c>
      <c r="B58" s="19" t="s">
        <v>480</v>
      </c>
      <c r="C58" s="19" t="s">
        <v>481</v>
      </c>
      <c r="D58" s="19" t="s">
        <v>73</v>
      </c>
      <c r="E58" s="19" t="s">
        <v>482</v>
      </c>
      <c r="F58" s="19" t="s">
        <v>483</v>
      </c>
      <c r="G58" s="19" t="s">
        <v>484</v>
      </c>
      <c r="H58" s="19" t="s">
        <v>485</v>
      </c>
      <c r="I58" s="19" t="s">
        <v>486</v>
      </c>
      <c r="J58" s="20" t="s">
        <v>20</v>
      </c>
      <c r="K58" s="19" t="s">
        <v>20</v>
      </c>
      <c r="L58" s="19"/>
    </row>
    <row r="59" customFormat="false" ht="32.8" hidden="false" customHeight="false" outlineLevel="0" collapsed="false">
      <c r="A59" s="19" t="s">
        <v>487</v>
      </c>
      <c r="B59" s="19" t="s">
        <v>488</v>
      </c>
      <c r="C59" s="19" t="s">
        <v>489</v>
      </c>
      <c r="D59" s="19" t="s">
        <v>65</v>
      </c>
      <c r="E59" s="19" t="s">
        <v>490</v>
      </c>
      <c r="F59" s="19" t="s">
        <v>491</v>
      </c>
      <c r="G59" s="19" t="s">
        <v>492</v>
      </c>
      <c r="H59" s="19" t="s">
        <v>493</v>
      </c>
      <c r="I59" s="19" t="s">
        <v>494</v>
      </c>
      <c r="J59" s="20" t="s">
        <v>20</v>
      </c>
      <c r="K59" s="19" t="s">
        <v>20</v>
      </c>
      <c r="L59" s="19"/>
    </row>
    <row r="60" customFormat="false" ht="22.35" hidden="false" customHeight="false" outlineLevel="0" collapsed="false">
      <c r="A60" s="19" t="s">
        <v>495</v>
      </c>
      <c r="B60" s="19" t="s">
        <v>488</v>
      </c>
      <c r="C60" s="19" t="s">
        <v>489</v>
      </c>
      <c r="D60" s="19" t="s">
        <v>65</v>
      </c>
      <c r="E60" s="19" t="s">
        <v>496</v>
      </c>
      <c r="F60" s="19" t="s">
        <v>497</v>
      </c>
      <c r="G60" s="19" t="s">
        <v>498</v>
      </c>
      <c r="H60" s="19" t="s">
        <v>499</v>
      </c>
      <c r="I60" s="19" t="s">
        <v>500</v>
      </c>
      <c r="J60" s="20" t="s">
        <v>20</v>
      </c>
      <c r="K60" s="19" t="s">
        <v>20</v>
      </c>
      <c r="L60" s="19"/>
    </row>
    <row r="61" customFormat="false" ht="32.8" hidden="false" customHeight="false" outlineLevel="0" collapsed="false">
      <c r="A61" s="19" t="s">
        <v>501</v>
      </c>
      <c r="B61" s="19" t="s">
        <v>488</v>
      </c>
      <c r="C61" s="19" t="s">
        <v>489</v>
      </c>
      <c r="D61" s="19" t="s">
        <v>65</v>
      </c>
      <c r="E61" s="19" t="s">
        <v>502</v>
      </c>
      <c r="F61" s="19" t="s">
        <v>503</v>
      </c>
      <c r="G61" s="19" t="s">
        <v>504</v>
      </c>
      <c r="H61" s="19" t="s">
        <v>505</v>
      </c>
      <c r="I61" s="19" t="s">
        <v>506</v>
      </c>
      <c r="J61" s="20" t="s">
        <v>20</v>
      </c>
      <c r="K61" s="19" t="s">
        <v>20</v>
      </c>
      <c r="L61" s="19"/>
    </row>
    <row r="62" customFormat="false" ht="22.35" hidden="false" customHeight="false" outlineLevel="0" collapsed="false">
      <c r="A62" s="19" t="s">
        <v>507</v>
      </c>
      <c r="B62" s="19" t="s">
        <v>488</v>
      </c>
      <c r="C62" s="19" t="s">
        <v>489</v>
      </c>
      <c r="D62" s="19" t="s">
        <v>65</v>
      </c>
      <c r="E62" s="19" t="s">
        <v>508</v>
      </c>
      <c r="F62" s="19" t="s">
        <v>509</v>
      </c>
      <c r="G62" s="19" t="s">
        <v>510</v>
      </c>
      <c r="H62" s="19" t="s">
        <v>511</v>
      </c>
      <c r="I62" s="19" t="s">
        <v>512</v>
      </c>
      <c r="J62" s="20" t="s">
        <v>20</v>
      </c>
      <c r="K62" s="19" t="s">
        <v>20</v>
      </c>
      <c r="L62" s="19"/>
    </row>
    <row r="63" customFormat="false" ht="43.25" hidden="false" customHeight="false" outlineLevel="0" collapsed="false">
      <c r="A63" s="19" t="s">
        <v>513</v>
      </c>
      <c r="B63" s="19" t="s">
        <v>488</v>
      </c>
      <c r="C63" s="19" t="s">
        <v>514</v>
      </c>
      <c r="D63" s="19" t="s">
        <v>65</v>
      </c>
      <c r="E63" s="19" t="s">
        <v>515</v>
      </c>
      <c r="F63" s="19" t="s">
        <v>516</v>
      </c>
      <c r="G63" s="19" t="s">
        <v>517</v>
      </c>
      <c r="H63" s="19" t="s">
        <v>518</v>
      </c>
      <c r="I63" s="19" t="s">
        <v>519</v>
      </c>
      <c r="J63" s="20" t="s">
        <v>20</v>
      </c>
      <c r="K63" s="19" t="s">
        <v>20</v>
      </c>
      <c r="L63" s="19" t="s">
        <v>520</v>
      </c>
    </row>
    <row r="64" customFormat="false" ht="32.8" hidden="false" customHeight="false" outlineLevel="0" collapsed="false">
      <c r="A64" s="19" t="s">
        <v>521</v>
      </c>
      <c r="B64" s="19" t="s">
        <v>488</v>
      </c>
      <c r="C64" s="19" t="s">
        <v>522</v>
      </c>
      <c r="D64" s="19" t="s">
        <v>65</v>
      </c>
      <c r="E64" s="19" t="s">
        <v>523</v>
      </c>
      <c r="F64" s="19" t="s">
        <v>497</v>
      </c>
      <c r="G64" s="19" t="s">
        <v>524</v>
      </c>
      <c r="H64" s="19" t="s">
        <v>525</v>
      </c>
      <c r="I64" s="19" t="s">
        <v>526</v>
      </c>
      <c r="J64" s="20" t="s">
        <v>20</v>
      </c>
      <c r="K64" s="19" t="s">
        <v>21</v>
      </c>
      <c r="L64" s="19" t="s">
        <v>527</v>
      </c>
    </row>
    <row r="65" customFormat="false" ht="32.8" hidden="false" customHeight="false" outlineLevel="0" collapsed="false">
      <c r="A65" s="19" t="s">
        <v>528</v>
      </c>
      <c r="B65" s="19" t="s">
        <v>223</v>
      </c>
      <c r="C65" s="19" t="s">
        <v>529</v>
      </c>
      <c r="D65" s="19" t="s">
        <v>73</v>
      </c>
      <c r="E65" s="19" t="s">
        <v>530</v>
      </c>
      <c r="F65" s="19" t="s">
        <v>531</v>
      </c>
      <c r="G65" s="19" t="s">
        <v>532</v>
      </c>
      <c r="H65" s="19" t="s">
        <v>533</v>
      </c>
      <c r="I65" s="19" t="s">
        <v>534</v>
      </c>
      <c r="J65" s="20" t="s">
        <v>22</v>
      </c>
      <c r="K65" s="19" t="s">
        <v>22</v>
      </c>
      <c r="L65" s="19" t="s">
        <v>535</v>
      </c>
    </row>
    <row r="66" customFormat="false" ht="22.35" hidden="false" customHeight="false" outlineLevel="0" collapsed="false">
      <c r="A66" s="19" t="s">
        <v>536</v>
      </c>
      <c r="B66" s="19" t="s">
        <v>537</v>
      </c>
      <c r="C66" s="19" t="s">
        <v>538</v>
      </c>
      <c r="D66" s="19" t="s">
        <v>65</v>
      </c>
      <c r="E66" s="19" t="s">
        <v>539</v>
      </c>
      <c r="F66" s="19" t="s">
        <v>540</v>
      </c>
      <c r="G66" s="19" t="s">
        <v>541</v>
      </c>
      <c r="H66" s="19" t="s">
        <v>542</v>
      </c>
      <c r="I66" s="19" t="s">
        <v>543</v>
      </c>
      <c r="J66" s="20" t="s">
        <v>20</v>
      </c>
      <c r="K66" s="19" t="s">
        <v>20</v>
      </c>
      <c r="L66" s="19"/>
    </row>
    <row r="67" customFormat="false" ht="22.35" hidden="false" customHeight="false" outlineLevel="0" collapsed="false">
      <c r="A67" s="19" t="s">
        <v>544</v>
      </c>
      <c r="B67" s="19" t="s">
        <v>537</v>
      </c>
      <c r="C67" s="19" t="s">
        <v>545</v>
      </c>
      <c r="D67" s="19" t="s">
        <v>65</v>
      </c>
      <c r="E67" s="19" t="s">
        <v>546</v>
      </c>
      <c r="F67" s="19" t="s">
        <v>547</v>
      </c>
      <c r="G67" s="19" t="s">
        <v>548</v>
      </c>
      <c r="H67" s="19" t="s">
        <v>549</v>
      </c>
      <c r="I67" s="19" t="s">
        <v>550</v>
      </c>
      <c r="J67" s="20" t="s">
        <v>20</v>
      </c>
      <c r="K67" s="19" t="s">
        <v>21</v>
      </c>
      <c r="L67" s="19" t="s">
        <v>527</v>
      </c>
    </row>
    <row r="68" customFormat="false" ht="22.35" hidden="false" customHeight="false" outlineLevel="0" collapsed="false">
      <c r="A68" s="19" t="s">
        <v>551</v>
      </c>
      <c r="B68" s="19" t="s">
        <v>537</v>
      </c>
      <c r="C68" s="19" t="s">
        <v>552</v>
      </c>
      <c r="D68" s="19" t="s">
        <v>73</v>
      </c>
      <c r="E68" s="19" t="s">
        <v>553</v>
      </c>
      <c r="F68" s="19" t="s">
        <v>547</v>
      </c>
      <c r="G68" s="19" t="s">
        <v>554</v>
      </c>
      <c r="H68" s="19" t="s">
        <v>555</v>
      </c>
      <c r="I68" s="19" t="s">
        <v>556</v>
      </c>
      <c r="J68" s="20" t="s">
        <v>20</v>
      </c>
      <c r="K68" s="19" t="s">
        <v>22</v>
      </c>
      <c r="L68" s="19" t="s">
        <v>557</v>
      </c>
    </row>
    <row r="69" customFormat="false" ht="32.8" hidden="false" customHeight="false" outlineLevel="0" collapsed="false">
      <c r="A69" s="19" t="s">
        <v>558</v>
      </c>
      <c r="B69" s="19" t="s">
        <v>559</v>
      </c>
      <c r="C69" s="19" t="s">
        <v>560</v>
      </c>
      <c r="D69" s="19" t="s">
        <v>73</v>
      </c>
      <c r="E69" s="19" t="s">
        <v>561</v>
      </c>
      <c r="F69" s="19" t="s">
        <v>562</v>
      </c>
      <c r="G69" s="19" t="s">
        <v>563</v>
      </c>
      <c r="H69" s="19" t="s">
        <v>564</v>
      </c>
      <c r="I69" s="19" t="s">
        <v>565</v>
      </c>
      <c r="J69" s="20" t="s">
        <v>22</v>
      </c>
      <c r="K69" s="19" t="s">
        <v>22</v>
      </c>
      <c r="L69" s="19" t="s">
        <v>566</v>
      </c>
    </row>
  </sheetData>
  <autoFilter ref="A1:L69"/>
  <conditionalFormatting sqref="J2:J69">
    <cfRule type="cellIs" priority="2" operator="equal" aboveAverage="0" equalAverage="0" bottom="0" percent="0" rank="0" text="" dxfId="10">
      <formula>"Pass"</formula>
    </cfRule>
    <cfRule type="cellIs" priority="3" operator="equal" aboveAverage="0" equalAverage="0" bottom="0" percent="0" rank="0" text="" dxfId="11">
      <formula>"Fail"</formula>
    </cfRule>
    <cfRule type="cellIs" priority="4" operator="equal" aboveAverage="0" equalAverage="0" bottom="0" percent="0" rank="0" text="" dxfId="12">
      <formula>"Partial"</formula>
    </cfRule>
    <cfRule type="cellIs" priority="5" operator="equal" aboveAverage="0" equalAverage="0" bottom="0" percent="0" rank="0" text="" dxfId="13">
      <formula>"Blocked"</formula>
    </cfRule>
    <cfRule type="cellIs" priority="6" operator="equal" aboveAverage="0" equalAverage="0" bottom="0" percent="0" rank="0" text="" dxfId="14">
      <formula>"Not Executed"</formula>
    </cfRule>
    <cfRule type="cellIs" priority="7" operator="equal" aboveAverage="0" equalAverage="0" bottom="0" percent="0" rank="0" text="" dxfId="15">
      <formula>"Not Retested"</formula>
    </cfRule>
    <cfRule type="cellIs" priority="8" operator="equal" aboveAverage="0" equalAverage="0" bottom="0" percent="0" rank="0" text="" dxfId="16">
      <formula>"N/A (Phase 2)"</formula>
    </cfRule>
    <cfRule type="cellIs" priority="9" operator="equal" aboveAverage="0" equalAverage="0" bottom="0" percent="0" rank="0" text="" dxfId="16">
      <formula>"N/A (Open item)"</formula>
    </cfRule>
    <cfRule type="cellIs" priority="10" operator="equal" aboveAverage="0" equalAverage="0" bottom="0" percent="0" rank="0" text="" dxfId="16">
      <formula>"N/A"</formula>
    </cfRule>
    <cfRule type="cellIs" priority="11" operator="equal" aboveAverage="0" equalAverage="0" bottom="0" percent="0" rank="0" text="" dxfId="10">
      <formula>"Fixed"</formula>
    </cfRule>
    <cfRule type="cellIs" priority="12" operator="equal" aboveAverage="0" equalAverage="0" bottom="0" percent="0" rank="0" text="" dxfId="12">
      <formula>"Partially fixed"</formula>
    </cfRule>
    <cfRule type="cellIs" priority="13" operator="equal" aboveAverage="0" equalAverage="0" bottom="0" percent="0" rank="0" text="" dxfId="11">
      <formula>"Open"</formula>
    </cfRule>
    <cfRule type="cellIs" priority="14" operator="equal" aboveAverage="0" equalAverage="0" bottom="0" percent="0" rank="0" text="" dxfId="17">
      <formula>"New"</formula>
    </cfRule>
    <cfRule type="cellIs" priority="15" operator="equal" aboveAverage="0" equalAverage="0" bottom="0" percent="0" rank="0" text="" dxfId="15">
      <formula>"Withdrawn"</formula>
    </cfRule>
  </conditionalFormatting>
  <conditionalFormatting sqref="K2:K69">
    <cfRule type="cellIs" priority="16" operator="equal" aboveAverage="0" equalAverage="0" bottom="0" percent="0" rank="0" text="" dxfId="10">
      <formula>"Pass"</formula>
    </cfRule>
    <cfRule type="cellIs" priority="17" operator="equal" aboveAverage="0" equalAverage="0" bottom="0" percent="0" rank="0" text="" dxfId="11">
      <formula>"Fail"</formula>
    </cfRule>
    <cfRule type="cellIs" priority="18" operator="equal" aboveAverage="0" equalAverage="0" bottom="0" percent="0" rank="0" text="" dxfId="12">
      <formula>"Partial"</formula>
    </cfRule>
    <cfRule type="cellIs" priority="19" operator="equal" aboveAverage="0" equalAverage="0" bottom="0" percent="0" rank="0" text="" dxfId="13">
      <formula>"Blocked"</formula>
    </cfRule>
    <cfRule type="cellIs" priority="20" operator="equal" aboveAverage="0" equalAverage="0" bottom="0" percent="0" rank="0" text="" dxfId="14">
      <formula>"Not Executed"</formula>
    </cfRule>
    <cfRule type="cellIs" priority="21" operator="equal" aboveAverage="0" equalAverage="0" bottom="0" percent="0" rank="0" text="" dxfId="15">
      <formula>"Not Retested"</formula>
    </cfRule>
    <cfRule type="cellIs" priority="22" operator="equal" aboveAverage="0" equalAverage="0" bottom="0" percent="0" rank="0" text="" dxfId="16">
      <formula>"N/A (Phase 2)"</formula>
    </cfRule>
    <cfRule type="cellIs" priority="23" operator="equal" aboveAverage="0" equalAverage="0" bottom="0" percent="0" rank="0" text="" dxfId="16">
      <formula>"N/A (Open item)"</formula>
    </cfRule>
    <cfRule type="cellIs" priority="24" operator="equal" aboveAverage="0" equalAverage="0" bottom="0" percent="0" rank="0" text="" dxfId="16">
      <formula>"N/A"</formula>
    </cfRule>
    <cfRule type="cellIs" priority="25" operator="equal" aboveAverage="0" equalAverage="0" bottom="0" percent="0" rank="0" text="" dxfId="10">
      <formula>"Fixed"</formula>
    </cfRule>
    <cfRule type="cellIs" priority="26" operator="equal" aboveAverage="0" equalAverage="0" bottom="0" percent="0" rank="0" text="" dxfId="12">
      <formula>"Partially fixed"</formula>
    </cfRule>
    <cfRule type="cellIs" priority="27" operator="equal" aboveAverage="0" equalAverage="0" bottom="0" percent="0" rank="0" text="" dxfId="11">
      <formula>"Open"</formula>
    </cfRule>
    <cfRule type="cellIs" priority="28" operator="equal" aboveAverage="0" equalAverage="0" bottom="0" percent="0" rank="0" text="" dxfId="17">
      <formula>"New"</formula>
    </cfRule>
    <cfRule type="cellIs" priority="29" operator="equal" aboveAverage="0" equalAverage="0" bottom="0" percent="0" rank="0" text="" dxfId="15">
      <formula>"Withdrawn"</formula>
    </cfRule>
  </conditionalFormatting>
  <dataValidations count="1">
    <dataValidation allowBlank="false" errorStyle="stop" operator="between" showDropDown="false" showErrorMessage="false" showInputMessage="false" sqref="J2:J69" type="list">
      <formula1>"Pass,Fail,Partial,Blocked,Not Executed,Not Retested,N/A (Phase 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48"/>
    <col collapsed="false" customWidth="true" hidden="false" outlineLevel="0" max="4" min="4" style="0" width="13"/>
    <col collapsed="false" customWidth="true" hidden="false" outlineLevel="0" max="5" min="5" style="0" width="70"/>
    <col collapsed="false" customWidth="true" hidden="false" outlineLevel="0" max="6" min="6" style="0" width="16"/>
  </cols>
  <sheetData>
    <row r="1" customFormat="false" ht="23.85" hidden="false" customHeight="false" outlineLevel="0" collapsed="false">
      <c r="A1" s="18" t="s">
        <v>567</v>
      </c>
      <c r="B1" s="18" t="s">
        <v>51</v>
      </c>
      <c r="C1" s="18" t="s">
        <v>568</v>
      </c>
      <c r="D1" s="18" t="s">
        <v>59</v>
      </c>
      <c r="E1" s="18" t="s">
        <v>569</v>
      </c>
      <c r="F1" s="18" t="s">
        <v>61</v>
      </c>
    </row>
    <row r="2" customFormat="false" ht="15" hidden="false" customHeight="false" outlineLevel="0" collapsed="false">
      <c r="A2" s="19" t="s">
        <v>570</v>
      </c>
      <c r="B2" s="19" t="s">
        <v>571</v>
      </c>
      <c r="C2" s="19" t="s">
        <v>572</v>
      </c>
      <c r="D2" s="20" t="s">
        <v>20</v>
      </c>
      <c r="E2" s="19" t="s">
        <v>573</v>
      </c>
      <c r="F2" s="19"/>
    </row>
    <row r="3" customFormat="false" ht="22.35" hidden="false" customHeight="false" outlineLevel="0" collapsed="false">
      <c r="A3" s="19" t="s">
        <v>574</v>
      </c>
      <c r="B3" s="19" t="s">
        <v>571</v>
      </c>
      <c r="C3" s="19" t="s">
        <v>575</v>
      </c>
      <c r="D3" s="20" t="s">
        <v>20</v>
      </c>
      <c r="E3" s="19" t="s">
        <v>576</v>
      </c>
      <c r="F3" s="19" t="s">
        <v>180</v>
      </c>
    </row>
    <row r="4" customFormat="false" ht="15" hidden="false" customHeight="false" outlineLevel="0" collapsed="false">
      <c r="A4" s="19" t="s">
        <v>577</v>
      </c>
      <c r="B4" s="19" t="s">
        <v>571</v>
      </c>
      <c r="C4" s="19" t="s">
        <v>578</v>
      </c>
      <c r="D4" s="20" t="s">
        <v>20</v>
      </c>
      <c r="E4" s="19" t="s">
        <v>579</v>
      </c>
      <c r="F4" s="19"/>
    </row>
    <row r="5" customFormat="false" ht="15" hidden="false" customHeight="false" outlineLevel="0" collapsed="false">
      <c r="A5" s="19" t="s">
        <v>580</v>
      </c>
      <c r="B5" s="19" t="s">
        <v>571</v>
      </c>
      <c r="C5" s="19" t="s">
        <v>581</v>
      </c>
      <c r="D5" s="20" t="s">
        <v>20</v>
      </c>
      <c r="E5" s="19" t="s">
        <v>582</v>
      </c>
      <c r="F5" s="19"/>
    </row>
    <row r="6" customFormat="false" ht="15" hidden="false" customHeight="false" outlineLevel="0" collapsed="false">
      <c r="A6" s="19" t="s">
        <v>583</v>
      </c>
      <c r="B6" s="19" t="s">
        <v>571</v>
      </c>
      <c r="C6" s="19" t="s">
        <v>584</v>
      </c>
      <c r="D6" s="20" t="s">
        <v>20</v>
      </c>
      <c r="E6" s="19" t="s">
        <v>585</v>
      </c>
      <c r="F6" s="19"/>
    </row>
    <row r="7" customFormat="false" ht="15" hidden="false" customHeight="false" outlineLevel="0" collapsed="false">
      <c r="A7" s="19" t="s">
        <v>586</v>
      </c>
      <c r="B7" s="19" t="s">
        <v>571</v>
      </c>
      <c r="C7" s="19" t="s">
        <v>587</v>
      </c>
      <c r="D7" s="20" t="s">
        <v>20</v>
      </c>
      <c r="E7" s="19" t="s">
        <v>588</v>
      </c>
      <c r="F7" s="19" t="s">
        <v>527</v>
      </c>
    </row>
    <row r="8" customFormat="false" ht="15" hidden="false" customHeight="false" outlineLevel="0" collapsed="false">
      <c r="A8" s="19" t="s">
        <v>589</v>
      </c>
      <c r="B8" s="19" t="s">
        <v>430</v>
      </c>
      <c r="C8" s="19" t="s">
        <v>590</v>
      </c>
      <c r="D8" s="20" t="s">
        <v>20</v>
      </c>
      <c r="E8" s="19" t="s">
        <v>591</v>
      </c>
      <c r="F8" s="19"/>
    </row>
    <row r="9" customFormat="false" ht="15" hidden="false" customHeight="false" outlineLevel="0" collapsed="false">
      <c r="A9" s="19" t="s">
        <v>592</v>
      </c>
      <c r="B9" s="19" t="s">
        <v>430</v>
      </c>
      <c r="C9" s="19" t="s">
        <v>593</v>
      </c>
      <c r="D9" s="20" t="s">
        <v>20</v>
      </c>
      <c r="E9" s="19" t="s">
        <v>594</v>
      </c>
      <c r="F9" s="19"/>
    </row>
    <row r="10" customFormat="false" ht="15" hidden="false" customHeight="false" outlineLevel="0" collapsed="false">
      <c r="A10" s="19" t="s">
        <v>595</v>
      </c>
      <c r="B10" s="19" t="s">
        <v>430</v>
      </c>
      <c r="C10" s="19" t="s">
        <v>596</v>
      </c>
      <c r="D10" s="20" t="s">
        <v>20</v>
      </c>
      <c r="E10" s="19" t="s">
        <v>597</v>
      </c>
      <c r="F10" s="19"/>
    </row>
    <row r="11" customFormat="false" ht="15" hidden="false" customHeight="false" outlineLevel="0" collapsed="false">
      <c r="A11" s="19" t="s">
        <v>598</v>
      </c>
      <c r="B11" s="19" t="s">
        <v>430</v>
      </c>
      <c r="C11" s="19" t="s">
        <v>599</v>
      </c>
      <c r="D11" s="20" t="s">
        <v>22</v>
      </c>
      <c r="E11" s="19" t="s">
        <v>600</v>
      </c>
      <c r="F11" s="19" t="s">
        <v>601</v>
      </c>
    </row>
    <row r="12" customFormat="false" ht="15" hidden="false" customHeight="false" outlineLevel="0" collapsed="false">
      <c r="A12" s="19" t="s">
        <v>602</v>
      </c>
      <c r="B12" s="19" t="s">
        <v>603</v>
      </c>
      <c r="C12" s="19" t="s">
        <v>604</v>
      </c>
      <c r="D12" s="20" t="s">
        <v>20</v>
      </c>
      <c r="E12" s="19" t="s">
        <v>605</v>
      </c>
      <c r="F12" s="19"/>
    </row>
    <row r="13" customFormat="false" ht="22.35" hidden="false" customHeight="false" outlineLevel="0" collapsed="false">
      <c r="A13" s="19" t="s">
        <v>606</v>
      </c>
      <c r="B13" s="19" t="s">
        <v>603</v>
      </c>
      <c r="C13" s="19" t="s">
        <v>607</v>
      </c>
      <c r="D13" s="20" t="s">
        <v>24</v>
      </c>
      <c r="E13" s="19" t="s">
        <v>608</v>
      </c>
      <c r="F13" s="19"/>
    </row>
    <row r="14" customFormat="false" ht="15" hidden="false" customHeight="false" outlineLevel="0" collapsed="false">
      <c r="A14" s="19" t="s">
        <v>609</v>
      </c>
      <c r="B14" s="19" t="s">
        <v>603</v>
      </c>
      <c r="C14" s="19" t="s">
        <v>610</v>
      </c>
      <c r="D14" s="20" t="s">
        <v>20</v>
      </c>
      <c r="E14" s="19" t="s">
        <v>611</v>
      </c>
      <c r="F14" s="19"/>
    </row>
    <row r="15" customFormat="false" ht="15" hidden="false" customHeight="false" outlineLevel="0" collapsed="false">
      <c r="A15" s="19" t="s">
        <v>612</v>
      </c>
      <c r="B15" s="19" t="s">
        <v>603</v>
      </c>
      <c r="C15" s="19" t="s">
        <v>613</v>
      </c>
      <c r="D15" s="20" t="s">
        <v>20</v>
      </c>
      <c r="E15" s="19" t="s">
        <v>614</v>
      </c>
      <c r="F15" s="19"/>
    </row>
    <row r="16" customFormat="false" ht="15" hidden="false" customHeight="false" outlineLevel="0" collapsed="false">
      <c r="A16" s="19" t="s">
        <v>615</v>
      </c>
      <c r="B16" s="19" t="s">
        <v>603</v>
      </c>
      <c r="C16" s="19" t="s">
        <v>616</v>
      </c>
      <c r="D16" s="20" t="s">
        <v>20</v>
      </c>
      <c r="E16" s="19" t="s">
        <v>617</v>
      </c>
      <c r="F16" s="19"/>
    </row>
    <row r="17" customFormat="false" ht="15" hidden="false" customHeight="false" outlineLevel="0" collapsed="false">
      <c r="A17" s="19" t="s">
        <v>618</v>
      </c>
      <c r="B17" s="19" t="s">
        <v>603</v>
      </c>
      <c r="C17" s="19" t="s">
        <v>619</v>
      </c>
      <c r="D17" s="20" t="s">
        <v>20</v>
      </c>
      <c r="E17" s="19" t="s">
        <v>620</v>
      </c>
      <c r="F17" s="19"/>
    </row>
    <row r="18" customFormat="false" ht="15" hidden="false" customHeight="false" outlineLevel="0" collapsed="false">
      <c r="A18" s="19" t="s">
        <v>621</v>
      </c>
      <c r="B18" s="19" t="s">
        <v>603</v>
      </c>
      <c r="C18" s="19" t="s">
        <v>622</v>
      </c>
      <c r="D18" s="20" t="s">
        <v>25</v>
      </c>
      <c r="E18" s="19" t="s">
        <v>623</v>
      </c>
      <c r="F18" s="19" t="s">
        <v>107</v>
      </c>
    </row>
    <row r="19" customFormat="false" ht="15" hidden="false" customHeight="false" outlineLevel="0" collapsed="false">
      <c r="A19" s="19" t="s">
        <v>624</v>
      </c>
      <c r="B19" s="19" t="s">
        <v>603</v>
      </c>
      <c r="C19" s="19" t="s">
        <v>625</v>
      </c>
      <c r="D19" s="20" t="s">
        <v>20</v>
      </c>
      <c r="E19" s="19" t="s">
        <v>626</v>
      </c>
      <c r="F19" s="19"/>
    </row>
    <row r="20" customFormat="false" ht="15" hidden="false" customHeight="false" outlineLevel="0" collapsed="false">
      <c r="A20" s="19" t="s">
        <v>627</v>
      </c>
      <c r="B20" s="19" t="s">
        <v>628</v>
      </c>
      <c r="C20" s="19" t="s">
        <v>629</v>
      </c>
      <c r="D20" s="20" t="s">
        <v>20</v>
      </c>
      <c r="E20" s="19" t="s">
        <v>630</v>
      </c>
      <c r="F20" s="19"/>
    </row>
    <row r="21" customFormat="false" ht="15" hidden="false" customHeight="false" outlineLevel="0" collapsed="false">
      <c r="A21" s="19" t="s">
        <v>631</v>
      </c>
      <c r="B21" s="19" t="s">
        <v>628</v>
      </c>
      <c r="C21" s="19" t="s">
        <v>632</v>
      </c>
      <c r="D21" s="20" t="s">
        <v>20</v>
      </c>
      <c r="E21" s="19" t="s">
        <v>633</v>
      </c>
      <c r="F21" s="19"/>
    </row>
    <row r="22" customFormat="false" ht="15" hidden="false" customHeight="false" outlineLevel="0" collapsed="false">
      <c r="A22" s="19" t="s">
        <v>634</v>
      </c>
      <c r="B22" s="19" t="s">
        <v>628</v>
      </c>
      <c r="C22" s="19" t="s">
        <v>635</v>
      </c>
      <c r="D22" s="20" t="s">
        <v>20</v>
      </c>
      <c r="E22" s="19" t="s">
        <v>636</v>
      </c>
      <c r="F22" s="19"/>
    </row>
    <row r="23" customFormat="false" ht="22.35" hidden="false" customHeight="false" outlineLevel="0" collapsed="false">
      <c r="A23" s="19" t="s">
        <v>637</v>
      </c>
      <c r="B23" s="19" t="s">
        <v>628</v>
      </c>
      <c r="C23" s="19" t="s">
        <v>638</v>
      </c>
      <c r="D23" s="20" t="s">
        <v>20</v>
      </c>
      <c r="E23" s="19" t="s">
        <v>639</v>
      </c>
      <c r="F23" s="19"/>
    </row>
    <row r="24" customFormat="false" ht="15" hidden="false" customHeight="false" outlineLevel="0" collapsed="false">
      <c r="A24" s="19" t="s">
        <v>640</v>
      </c>
      <c r="B24" s="19" t="s">
        <v>628</v>
      </c>
      <c r="C24" s="19" t="s">
        <v>641</v>
      </c>
      <c r="D24" s="20" t="s">
        <v>20</v>
      </c>
      <c r="E24" s="19" t="s">
        <v>642</v>
      </c>
      <c r="F24" s="19"/>
    </row>
    <row r="25" customFormat="false" ht="22.35" hidden="false" customHeight="false" outlineLevel="0" collapsed="false">
      <c r="A25" s="19" t="s">
        <v>643</v>
      </c>
      <c r="B25" s="19" t="s">
        <v>644</v>
      </c>
      <c r="C25" s="19" t="s">
        <v>645</v>
      </c>
      <c r="D25" s="20" t="s">
        <v>20</v>
      </c>
      <c r="E25" s="19" t="s">
        <v>646</v>
      </c>
      <c r="F25" s="19"/>
    </row>
    <row r="26" customFormat="false" ht="22.35" hidden="false" customHeight="false" outlineLevel="0" collapsed="false">
      <c r="A26" s="19" t="s">
        <v>647</v>
      </c>
      <c r="B26" s="19" t="s">
        <v>644</v>
      </c>
      <c r="C26" s="19" t="s">
        <v>648</v>
      </c>
      <c r="D26" s="20" t="s">
        <v>20</v>
      </c>
      <c r="E26" s="19" t="s">
        <v>649</v>
      </c>
      <c r="F26" s="19"/>
    </row>
    <row r="27" customFormat="false" ht="22.35" hidden="false" customHeight="false" outlineLevel="0" collapsed="false">
      <c r="A27" s="19" t="s">
        <v>650</v>
      </c>
      <c r="B27" s="19" t="s">
        <v>644</v>
      </c>
      <c r="C27" s="19" t="s">
        <v>651</v>
      </c>
      <c r="D27" s="20" t="s">
        <v>21</v>
      </c>
      <c r="E27" s="19" t="s">
        <v>652</v>
      </c>
      <c r="F27" s="19" t="s">
        <v>653</v>
      </c>
    </row>
    <row r="28" customFormat="false" ht="15" hidden="false" customHeight="false" outlineLevel="0" collapsed="false">
      <c r="A28" s="19" t="s">
        <v>654</v>
      </c>
      <c r="B28" s="19" t="s">
        <v>644</v>
      </c>
      <c r="C28" s="19" t="s">
        <v>655</v>
      </c>
      <c r="D28" s="20" t="s">
        <v>21</v>
      </c>
      <c r="E28" s="19" t="s">
        <v>656</v>
      </c>
      <c r="F28" s="19" t="s">
        <v>653</v>
      </c>
    </row>
    <row r="29" customFormat="false" ht="15" hidden="false" customHeight="false" outlineLevel="0" collapsed="false">
      <c r="A29" s="19" t="s">
        <v>657</v>
      </c>
      <c r="B29" s="19" t="s">
        <v>644</v>
      </c>
      <c r="C29" s="19" t="s">
        <v>658</v>
      </c>
      <c r="D29" s="20" t="s">
        <v>25</v>
      </c>
      <c r="E29" s="19"/>
      <c r="F29" s="19"/>
    </row>
    <row r="30" customFormat="false" ht="15" hidden="false" customHeight="false" outlineLevel="0" collapsed="false">
      <c r="A30" s="19" t="s">
        <v>659</v>
      </c>
      <c r="B30" s="19" t="s">
        <v>660</v>
      </c>
      <c r="C30" s="19" t="s">
        <v>661</v>
      </c>
      <c r="D30" s="20" t="s">
        <v>20</v>
      </c>
      <c r="E30" s="19" t="s">
        <v>662</v>
      </c>
      <c r="F30" s="19"/>
    </row>
    <row r="31" customFormat="false" ht="15" hidden="false" customHeight="false" outlineLevel="0" collapsed="false">
      <c r="A31" s="19" t="s">
        <v>663</v>
      </c>
      <c r="B31" s="19" t="s">
        <v>660</v>
      </c>
      <c r="C31" s="19" t="s">
        <v>664</v>
      </c>
      <c r="D31" s="20" t="s">
        <v>20</v>
      </c>
      <c r="E31" s="19" t="s">
        <v>665</v>
      </c>
      <c r="F31" s="19"/>
    </row>
    <row r="32" customFormat="false" ht="22.35" hidden="false" customHeight="false" outlineLevel="0" collapsed="false">
      <c r="A32" s="19" t="s">
        <v>666</v>
      </c>
      <c r="B32" s="19" t="s">
        <v>660</v>
      </c>
      <c r="C32" s="19" t="s">
        <v>667</v>
      </c>
      <c r="D32" s="20" t="s">
        <v>21</v>
      </c>
      <c r="E32" s="19" t="s">
        <v>668</v>
      </c>
      <c r="F32" s="19" t="s">
        <v>669</v>
      </c>
    </row>
    <row r="33" customFormat="false" ht="15" hidden="false" customHeight="false" outlineLevel="0" collapsed="false">
      <c r="A33" s="19" t="s">
        <v>670</v>
      </c>
      <c r="B33" s="19" t="s">
        <v>660</v>
      </c>
      <c r="C33" s="19" t="s">
        <v>671</v>
      </c>
      <c r="D33" s="20" t="s">
        <v>20</v>
      </c>
      <c r="E33" s="19" t="s">
        <v>672</v>
      </c>
      <c r="F33" s="19"/>
    </row>
    <row r="34" customFormat="false" ht="22.35" hidden="false" customHeight="false" outlineLevel="0" collapsed="false">
      <c r="A34" s="19" t="s">
        <v>673</v>
      </c>
      <c r="B34" s="19" t="s">
        <v>660</v>
      </c>
      <c r="C34" s="19" t="s">
        <v>674</v>
      </c>
      <c r="D34" s="20" t="s">
        <v>20</v>
      </c>
      <c r="E34" s="19" t="s">
        <v>675</v>
      </c>
      <c r="F34" s="19"/>
    </row>
    <row r="35" customFormat="false" ht="15" hidden="false" customHeight="false" outlineLevel="0" collapsed="false">
      <c r="A35" s="19" t="s">
        <v>676</v>
      </c>
      <c r="B35" s="19" t="s">
        <v>660</v>
      </c>
      <c r="C35" s="19" t="s">
        <v>677</v>
      </c>
      <c r="D35" s="20" t="s">
        <v>20</v>
      </c>
      <c r="E35" s="19" t="s">
        <v>678</v>
      </c>
      <c r="F35" s="19"/>
    </row>
    <row r="36" customFormat="false" ht="15" hidden="false" customHeight="false" outlineLevel="0" collapsed="false">
      <c r="A36" s="19" t="s">
        <v>679</v>
      </c>
      <c r="B36" s="19" t="s">
        <v>660</v>
      </c>
      <c r="C36" s="19" t="s">
        <v>680</v>
      </c>
      <c r="D36" s="20" t="s">
        <v>20</v>
      </c>
      <c r="E36" s="19" t="s">
        <v>681</v>
      </c>
      <c r="F36" s="19"/>
    </row>
    <row r="37" customFormat="false" ht="15" hidden="false" customHeight="false" outlineLevel="0" collapsed="false">
      <c r="A37" s="19" t="s">
        <v>682</v>
      </c>
      <c r="B37" s="19" t="s">
        <v>660</v>
      </c>
      <c r="C37" s="19" t="s">
        <v>683</v>
      </c>
      <c r="D37" s="20" t="s">
        <v>20</v>
      </c>
      <c r="E37" s="19" t="s">
        <v>684</v>
      </c>
      <c r="F37" s="19"/>
    </row>
    <row r="38" customFormat="false" ht="15" hidden="false" customHeight="false" outlineLevel="0" collapsed="false">
      <c r="A38" s="19" t="s">
        <v>685</v>
      </c>
      <c r="B38" s="19" t="s">
        <v>123</v>
      </c>
      <c r="C38" s="19" t="s">
        <v>686</v>
      </c>
      <c r="D38" s="20" t="s">
        <v>20</v>
      </c>
      <c r="E38" s="19" t="s">
        <v>687</v>
      </c>
      <c r="F38" s="19"/>
    </row>
    <row r="39" customFormat="false" ht="15" hidden="false" customHeight="false" outlineLevel="0" collapsed="false">
      <c r="A39" s="19" t="s">
        <v>688</v>
      </c>
      <c r="B39" s="19" t="s">
        <v>123</v>
      </c>
      <c r="C39" s="19" t="s">
        <v>689</v>
      </c>
      <c r="D39" s="20" t="s">
        <v>20</v>
      </c>
      <c r="E39" s="19" t="s">
        <v>690</v>
      </c>
      <c r="F39" s="19"/>
    </row>
    <row r="40" customFormat="false" ht="15" hidden="false" customHeight="false" outlineLevel="0" collapsed="false">
      <c r="A40" s="19" t="s">
        <v>691</v>
      </c>
      <c r="B40" s="19" t="s">
        <v>123</v>
      </c>
      <c r="C40" s="19" t="s">
        <v>692</v>
      </c>
      <c r="D40" s="20" t="s">
        <v>20</v>
      </c>
      <c r="E40" s="19" t="s">
        <v>693</v>
      </c>
      <c r="F40" s="19"/>
    </row>
    <row r="41" customFormat="false" ht="15" hidden="false" customHeight="false" outlineLevel="0" collapsed="false">
      <c r="A41" s="19" t="s">
        <v>694</v>
      </c>
      <c r="B41" s="19" t="s">
        <v>123</v>
      </c>
      <c r="C41" s="19" t="s">
        <v>695</v>
      </c>
      <c r="D41" s="20" t="s">
        <v>20</v>
      </c>
      <c r="E41" s="19" t="s">
        <v>696</v>
      </c>
      <c r="F41" s="19"/>
    </row>
    <row r="42" customFormat="false" ht="22.35" hidden="false" customHeight="false" outlineLevel="0" collapsed="false">
      <c r="A42" s="19" t="s">
        <v>697</v>
      </c>
      <c r="B42" s="19" t="s">
        <v>123</v>
      </c>
      <c r="C42" s="19" t="s">
        <v>698</v>
      </c>
      <c r="D42" s="20" t="s">
        <v>20</v>
      </c>
      <c r="E42" s="19" t="s">
        <v>699</v>
      </c>
      <c r="F42" s="19"/>
    </row>
    <row r="43" customFormat="false" ht="15" hidden="false" customHeight="false" outlineLevel="0" collapsed="false">
      <c r="A43" s="19" t="s">
        <v>700</v>
      </c>
      <c r="B43" s="19" t="s">
        <v>123</v>
      </c>
      <c r="C43" s="19" t="s">
        <v>701</v>
      </c>
      <c r="D43" s="20" t="s">
        <v>20</v>
      </c>
      <c r="E43" s="19" t="s">
        <v>702</v>
      </c>
      <c r="F43" s="19"/>
    </row>
    <row r="44" customFormat="false" ht="15" hidden="false" customHeight="false" outlineLevel="0" collapsed="false">
      <c r="A44" s="19" t="s">
        <v>703</v>
      </c>
      <c r="B44" s="19" t="s">
        <v>123</v>
      </c>
      <c r="C44" s="19" t="s">
        <v>704</v>
      </c>
      <c r="D44" s="20" t="s">
        <v>20</v>
      </c>
      <c r="E44" s="19" t="s">
        <v>705</v>
      </c>
      <c r="F44" s="19"/>
    </row>
    <row r="45" customFormat="false" ht="15" hidden="false" customHeight="false" outlineLevel="0" collapsed="false">
      <c r="A45" s="19" t="s">
        <v>706</v>
      </c>
      <c r="B45" s="19" t="s">
        <v>123</v>
      </c>
      <c r="C45" s="19" t="s">
        <v>707</v>
      </c>
      <c r="D45" s="20" t="s">
        <v>20</v>
      </c>
      <c r="E45" s="19" t="s">
        <v>708</v>
      </c>
      <c r="F45" s="19"/>
    </row>
    <row r="46" customFormat="false" ht="15" hidden="false" customHeight="false" outlineLevel="0" collapsed="false">
      <c r="A46" s="19" t="s">
        <v>709</v>
      </c>
      <c r="B46" s="19" t="s">
        <v>123</v>
      </c>
      <c r="C46" s="19" t="s">
        <v>710</v>
      </c>
      <c r="D46" s="20" t="s">
        <v>20</v>
      </c>
      <c r="E46" s="19" t="s">
        <v>711</v>
      </c>
      <c r="F46" s="19"/>
    </row>
    <row r="47" customFormat="false" ht="15" hidden="false" customHeight="false" outlineLevel="0" collapsed="false">
      <c r="A47" s="19" t="s">
        <v>712</v>
      </c>
      <c r="B47" s="19" t="s">
        <v>713</v>
      </c>
      <c r="C47" s="19" t="s">
        <v>714</v>
      </c>
      <c r="D47" s="20" t="s">
        <v>20</v>
      </c>
      <c r="E47" s="19" t="s">
        <v>715</v>
      </c>
      <c r="F47" s="19"/>
    </row>
    <row r="48" customFormat="false" ht="15" hidden="false" customHeight="false" outlineLevel="0" collapsed="false">
      <c r="A48" s="19" t="s">
        <v>716</v>
      </c>
      <c r="B48" s="19" t="s">
        <v>713</v>
      </c>
      <c r="C48" s="19" t="s">
        <v>717</v>
      </c>
      <c r="D48" s="20" t="s">
        <v>20</v>
      </c>
      <c r="E48" s="19" t="s">
        <v>718</v>
      </c>
      <c r="F48" s="19"/>
    </row>
    <row r="49" customFormat="false" ht="15" hidden="false" customHeight="false" outlineLevel="0" collapsed="false">
      <c r="A49" s="19" t="s">
        <v>719</v>
      </c>
      <c r="B49" s="19" t="s">
        <v>713</v>
      </c>
      <c r="C49" s="19" t="s">
        <v>720</v>
      </c>
      <c r="D49" s="20" t="s">
        <v>20</v>
      </c>
      <c r="E49" s="19" t="s">
        <v>721</v>
      </c>
      <c r="F49" s="19"/>
    </row>
    <row r="50" customFormat="false" ht="15" hidden="false" customHeight="false" outlineLevel="0" collapsed="false">
      <c r="A50" s="19" t="s">
        <v>722</v>
      </c>
      <c r="B50" s="19" t="s">
        <v>713</v>
      </c>
      <c r="C50" s="19" t="s">
        <v>723</v>
      </c>
      <c r="D50" s="20" t="s">
        <v>20</v>
      </c>
      <c r="E50" s="19" t="s">
        <v>724</v>
      </c>
      <c r="F50" s="19"/>
    </row>
    <row r="51" customFormat="false" ht="15" hidden="false" customHeight="false" outlineLevel="0" collapsed="false">
      <c r="A51" s="19" t="s">
        <v>725</v>
      </c>
      <c r="B51" s="19" t="s">
        <v>713</v>
      </c>
      <c r="C51" s="19" t="s">
        <v>726</v>
      </c>
      <c r="D51" s="20" t="s">
        <v>20</v>
      </c>
      <c r="E51" s="19" t="s">
        <v>727</v>
      </c>
      <c r="F51" s="19"/>
    </row>
    <row r="52" customFormat="false" ht="15" hidden="false" customHeight="false" outlineLevel="0" collapsed="false">
      <c r="A52" s="19" t="s">
        <v>728</v>
      </c>
      <c r="B52" s="19" t="s">
        <v>713</v>
      </c>
      <c r="C52" s="19" t="s">
        <v>729</v>
      </c>
      <c r="D52" s="20" t="s">
        <v>20</v>
      </c>
      <c r="E52" s="19" t="s">
        <v>730</v>
      </c>
      <c r="F52" s="19"/>
    </row>
    <row r="53" customFormat="false" ht="15" hidden="false" customHeight="false" outlineLevel="0" collapsed="false">
      <c r="A53" s="19" t="s">
        <v>731</v>
      </c>
      <c r="B53" s="19" t="s">
        <v>713</v>
      </c>
      <c r="C53" s="19" t="s">
        <v>732</v>
      </c>
      <c r="D53" s="20" t="s">
        <v>24</v>
      </c>
      <c r="E53" s="19" t="s">
        <v>733</v>
      </c>
      <c r="F53" s="19"/>
    </row>
    <row r="54" customFormat="false" ht="15" hidden="false" customHeight="false" outlineLevel="0" collapsed="false">
      <c r="A54" s="19" t="s">
        <v>734</v>
      </c>
      <c r="B54" s="19" t="s">
        <v>480</v>
      </c>
      <c r="C54" s="19" t="s">
        <v>735</v>
      </c>
      <c r="D54" s="20" t="s">
        <v>20</v>
      </c>
      <c r="E54" s="19" t="s">
        <v>736</v>
      </c>
      <c r="F54" s="19"/>
    </row>
    <row r="55" customFormat="false" ht="22.35" hidden="false" customHeight="false" outlineLevel="0" collapsed="false">
      <c r="A55" s="19" t="s">
        <v>737</v>
      </c>
      <c r="B55" s="19" t="s">
        <v>480</v>
      </c>
      <c r="C55" s="19" t="s">
        <v>738</v>
      </c>
      <c r="D55" s="20" t="s">
        <v>22</v>
      </c>
      <c r="E55" s="19" t="s">
        <v>739</v>
      </c>
      <c r="F55" s="19" t="s">
        <v>740</v>
      </c>
    </row>
    <row r="56" customFormat="false" ht="15" hidden="false" customHeight="false" outlineLevel="0" collapsed="false">
      <c r="A56" s="19" t="s">
        <v>741</v>
      </c>
      <c r="B56" s="19" t="s">
        <v>480</v>
      </c>
      <c r="C56" s="19" t="s">
        <v>742</v>
      </c>
      <c r="D56" s="20" t="s">
        <v>20</v>
      </c>
      <c r="E56" s="19" t="s">
        <v>743</v>
      </c>
      <c r="F56" s="19"/>
    </row>
    <row r="57" customFormat="false" ht="15" hidden="false" customHeight="false" outlineLevel="0" collapsed="false">
      <c r="A57" s="19" t="s">
        <v>744</v>
      </c>
      <c r="B57" s="19" t="s">
        <v>480</v>
      </c>
      <c r="C57" s="19" t="s">
        <v>745</v>
      </c>
      <c r="D57" s="20" t="s">
        <v>20</v>
      </c>
      <c r="E57" s="19" t="s">
        <v>746</v>
      </c>
      <c r="F57" s="19"/>
    </row>
    <row r="58" customFormat="false" ht="15" hidden="false" customHeight="false" outlineLevel="0" collapsed="false">
      <c r="A58" s="19" t="s">
        <v>747</v>
      </c>
      <c r="B58" s="19" t="s">
        <v>480</v>
      </c>
      <c r="C58" s="19" t="s">
        <v>748</v>
      </c>
      <c r="D58" s="20" t="s">
        <v>20</v>
      </c>
      <c r="E58" s="19" t="s">
        <v>749</v>
      </c>
      <c r="F58" s="19"/>
    </row>
    <row r="59" customFormat="false" ht="15" hidden="false" customHeight="false" outlineLevel="0" collapsed="false">
      <c r="A59" s="19" t="s">
        <v>750</v>
      </c>
      <c r="B59" s="19" t="s">
        <v>480</v>
      </c>
      <c r="C59" s="19" t="s">
        <v>751</v>
      </c>
      <c r="D59" s="20" t="s">
        <v>20</v>
      </c>
      <c r="E59" s="19" t="s">
        <v>752</v>
      </c>
      <c r="F59" s="19"/>
    </row>
    <row r="60" customFormat="false" ht="15" hidden="false" customHeight="false" outlineLevel="0" collapsed="false">
      <c r="A60" s="19" t="s">
        <v>753</v>
      </c>
      <c r="B60" s="19" t="s">
        <v>480</v>
      </c>
      <c r="C60" s="19" t="s">
        <v>754</v>
      </c>
      <c r="D60" s="20" t="s">
        <v>20</v>
      </c>
      <c r="E60" s="19" t="s">
        <v>755</v>
      </c>
      <c r="F60" s="19"/>
    </row>
    <row r="61" customFormat="false" ht="15" hidden="false" customHeight="false" outlineLevel="0" collapsed="false">
      <c r="A61" s="19" t="s">
        <v>756</v>
      </c>
      <c r="B61" s="19" t="s">
        <v>757</v>
      </c>
      <c r="C61" s="19" t="s">
        <v>758</v>
      </c>
      <c r="D61" s="20" t="s">
        <v>20</v>
      </c>
      <c r="E61" s="19" t="s">
        <v>759</v>
      </c>
      <c r="F61" s="19"/>
    </row>
    <row r="62" customFormat="false" ht="15" hidden="false" customHeight="false" outlineLevel="0" collapsed="false">
      <c r="A62" s="19" t="s">
        <v>760</v>
      </c>
      <c r="B62" s="19" t="s">
        <v>757</v>
      </c>
      <c r="C62" s="19" t="s">
        <v>761</v>
      </c>
      <c r="D62" s="20" t="s">
        <v>22</v>
      </c>
      <c r="E62" s="19" t="s">
        <v>762</v>
      </c>
      <c r="F62" s="19" t="s">
        <v>763</v>
      </c>
    </row>
    <row r="63" customFormat="false" ht="15" hidden="false" customHeight="false" outlineLevel="0" collapsed="false">
      <c r="A63" s="19" t="s">
        <v>764</v>
      </c>
      <c r="B63" s="19" t="s">
        <v>757</v>
      </c>
      <c r="C63" s="19" t="s">
        <v>765</v>
      </c>
      <c r="D63" s="20" t="s">
        <v>20</v>
      </c>
      <c r="E63" s="19" t="s">
        <v>766</v>
      </c>
      <c r="F63" s="19"/>
    </row>
    <row r="64" customFormat="false" ht="15" hidden="false" customHeight="false" outlineLevel="0" collapsed="false">
      <c r="A64" s="19" t="s">
        <v>767</v>
      </c>
      <c r="B64" s="19" t="s">
        <v>757</v>
      </c>
      <c r="C64" s="19" t="s">
        <v>768</v>
      </c>
      <c r="D64" s="20" t="s">
        <v>20</v>
      </c>
      <c r="E64" s="19" t="s">
        <v>766</v>
      </c>
      <c r="F64" s="19"/>
    </row>
    <row r="65" customFormat="false" ht="15" hidden="false" customHeight="false" outlineLevel="0" collapsed="false">
      <c r="A65" s="19" t="s">
        <v>769</v>
      </c>
      <c r="B65" s="19" t="s">
        <v>770</v>
      </c>
      <c r="C65" s="19" t="s">
        <v>771</v>
      </c>
      <c r="D65" s="20" t="s">
        <v>20</v>
      </c>
      <c r="E65" s="19" t="s">
        <v>772</v>
      </c>
      <c r="F65" s="19"/>
    </row>
    <row r="66" customFormat="false" ht="15" hidden="false" customHeight="false" outlineLevel="0" collapsed="false">
      <c r="A66" s="19" t="s">
        <v>773</v>
      </c>
      <c r="B66" s="19" t="s">
        <v>770</v>
      </c>
      <c r="C66" s="19" t="s">
        <v>774</v>
      </c>
      <c r="D66" s="20" t="s">
        <v>20</v>
      </c>
      <c r="E66" s="19" t="s">
        <v>775</v>
      </c>
      <c r="F66" s="19"/>
    </row>
    <row r="67" customFormat="false" ht="15" hidden="false" customHeight="false" outlineLevel="0" collapsed="false">
      <c r="A67" s="19" t="s">
        <v>776</v>
      </c>
      <c r="B67" s="19" t="s">
        <v>770</v>
      </c>
      <c r="C67" s="19" t="s">
        <v>777</v>
      </c>
      <c r="D67" s="20" t="s">
        <v>25</v>
      </c>
      <c r="E67" s="19"/>
      <c r="F67" s="19"/>
    </row>
    <row r="68" customFormat="false" ht="15" hidden="false" customHeight="false" outlineLevel="0" collapsed="false">
      <c r="A68" s="19" t="s">
        <v>778</v>
      </c>
      <c r="B68" s="19" t="s">
        <v>770</v>
      </c>
      <c r="C68" s="19" t="s">
        <v>779</v>
      </c>
      <c r="D68" s="20" t="s">
        <v>25</v>
      </c>
      <c r="E68" s="19"/>
      <c r="F68" s="19"/>
    </row>
    <row r="69" customFormat="false" ht="15" hidden="false" customHeight="false" outlineLevel="0" collapsed="false">
      <c r="A69" s="19" t="s">
        <v>780</v>
      </c>
      <c r="B69" s="19" t="s">
        <v>770</v>
      </c>
      <c r="C69" s="19" t="s">
        <v>781</v>
      </c>
      <c r="D69" s="20" t="s">
        <v>23</v>
      </c>
      <c r="E69" s="19" t="s">
        <v>782</v>
      </c>
      <c r="F69" s="19"/>
    </row>
    <row r="70" customFormat="false" ht="15" hidden="false" customHeight="false" outlineLevel="0" collapsed="false">
      <c r="A70" s="19" t="s">
        <v>783</v>
      </c>
      <c r="B70" s="19" t="s">
        <v>784</v>
      </c>
      <c r="C70" s="19" t="s">
        <v>785</v>
      </c>
      <c r="D70" s="20" t="s">
        <v>20</v>
      </c>
      <c r="E70" s="19" t="s">
        <v>786</v>
      </c>
      <c r="F70" s="19"/>
    </row>
    <row r="71" customFormat="false" ht="15" hidden="false" customHeight="false" outlineLevel="0" collapsed="false">
      <c r="A71" s="19" t="s">
        <v>787</v>
      </c>
      <c r="B71" s="19" t="s">
        <v>784</v>
      </c>
      <c r="C71" s="19" t="s">
        <v>788</v>
      </c>
      <c r="D71" s="20" t="s">
        <v>20</v>
      </c>
      <c r="E71" s="19" t="s">
        <v>789</v>
      </c>
      <c r="F71" s="19"/>
    </row>
    <row r="72" customFormat="false" ht="15" hidden="false" customHeight="false" outlineLevel="0" collapsed="false">
      <c r="A72" s="19" t="s">
        <v>790</v>
      </c>
      <c r="B72" s="19" t="s">
        <v>784</v>
      </c>
      <c r="C72" s="19" t="s">
        <v>791</v>
      </c>
      <c r="D72" s="20" t="s">
        <v>20</v>
      </c>
      <c r="E72" s="19" t="s">
        <v>792</v>
      </c>
      <c r="F72" s="19"/>
    </row>
    <row r="73" customFormat="false" ht="15" hidden="false" customHeight="false" outlineLevel="0" collapsed="false">
      <c r="A73" s="19" t="s">
        <v>793</v>
      </c>
      <c r="B73" s="19" t="s">
        <v>784</v>
      </c>
      <c r="C73" s="19" t="s">
        <v>794</v>
      </c>
      <c r="D73" s="20" t="s">
        <v>20</v>
      </c>
      <c r="E73" s="19" t="s">
        <v>795</v>
      </c>
      <c r="F73" s="19"/>
    </row>
    <row r="74" customFormat="false" ht="15" hidden="false" customHeight="false" outlineLevel="0" collapsed="false">
      <c r="A74" s="19" t="s">
        <v>796</v>
      </c>
      <c r="B74" s="19" t="s">
        <v>784</v>
      </c>
      <c r="C74" s="19" t="s">
        <v>797</v>
      </c>
      <c r="D74" s="20" t="s">
        <v>20</v>
      </c>
      <c r="E74" s="19" t="s">
        <v>798</v>
      </c>
      <c r="F74" s="19"/>
    </row>
    <row r="75" customFormat="false" ht="22.35" hidden="false" customHeight="false" outlineLevel="0" collapsed="false">
      <c r="A75" s="19" t="s">
        <v>799</v>
      </c>
      <c r="B75" s="19" t="s">
        <v>784</v>
      </c>
      <c r="C75" s="19" t="s">
        <v>800</v>
      </c>
      <c r="D75" s="20" t="s">
        <v>22</v>
      </c>
      <c r="E75" s="19" t="s">
        <v>801</v>
      </c>
      <c r="F75" s="19" t="s">
        <v>802</v>
      </c>
    </row>
    <row r="76" customFormat="false" ht="15" hidden="false" customHeight="false" outlineLevel="0" collapsed="false">
      <c r="A76" s="19" t="s">
        <v>803</v>
      </c>
      <c r="B76" s="19" t="s">
        <v>784</v>
      </c>
      <c r="C76" s="19" t="s">
        <v>804</v>
      </c>
      <c r="D76" s="20" t="s">
        <v>20</v>
      </c>
      <c r="E76" s="19" t="s">
        <v>805</v>
      </c>
      <c r="F76" s="19"/>
    </row>
    <row r="77" customFormat="false" ht="15" hidden="false" customHeight="false" outlineLevel="0" collapsed="false">
      <c r="A77" s="19" t="s">
        <v>806</v>
      </c>
      <c r="B77" s="19" t="s">
        <v>807</v>
      </c>
      <c r="C77" s="19" t="s">
        <v>808</v>
      </c>
      <c r="D77" s="20" t="s">
        <v>20</v>
      </c>
      <c r="E77" s="19" t="s">
        <v>809</v>
      </c>
      <c r="F77" s="19"/>
    </row>
    <row r="78" customFormat="false" ht="15" hidden="false" customHeight="false" outlineLevel="0" collapsed="false">
      <c r="A78" s="19" t="s">
        <v>810</v>
      </c>
      <c r="B78" s="19" t="s">
        <v>807</v>
      </c>
      <c r="C78" s="19" t="s">
        <v>811</v>
      </c>
      <c r="D78" s="20" t="s">
        <v>20</v>
      </c>
      <c r="E78" s="19" t="s">
        <v>812</v>
      </c>
      <c r="F78" s="19"/>
    </row>
    <row r="79" customFormat="false" ht="15" hidden="false" customHeight="false" outlineLevel="0" collapsed="false">
      <c r="A79" s="19" t="s">
        <v>813</v>
      </c>
      <c r="B79" s="19" t="s">
        <v>807</v>
      </c>
      <c r="C79" s="19" t="s">
        <v>814</v>
      </c>
      <c r="D79" s="20" t="s">
        <v>20</v>
      </c>
      <c r="E79" s="19" t="s">
        <v>815</v>
      </c>
      <c r="F79" s="19"/>
    </row>
    <row r="80" customFormat="false" ht="15" hidden="false" customHeight="false" outlineLevel="0" collapsed="false">
      <c r="A80" s="19" t="s">
        <v>816</v>
      </c>
      <c r="B80" s="19" t="s">
        <v>807</v>
      </c>
      <c r="C80" s="19" t="s">
        <v>817</v>
      </c>
      <c r="D80" s="20" t="s">
        <v>20</v>
      </c>
      <c r="E80" s="19" t="s">
        <v>818</v>
      </c>
      <c r="F80" s="19"/>
    </row>
    <row r="81" customFormat="false" ht="15" hidden="false" customHeight="false" outlineLevel="0" collapsed="false">
      <c r="A81" s="19" t="s">
        <v>819</v>
      </c>
      <c r="B81" s="19" t="s">
        <v>807</v>
      </c>
      <c r="C81" s="19" t="s">
        <v>820</v>
      </c>
      <c r="D81" s="20" t="s">
        <v>20</v>
      </c>
      <c r="E81" s="19" t="s">
        <v>821</v>
      </c>
      <c r="F81" s="19"/>
    </row>
    <row r="82" customFormat="false" ht="15" hidden="false" customHeight="false" outlineLevel="0" collapsed="false">
      <c r="A82" s="19" t="s">
        <v>822</v>
      </c>
      <c r="B82" s="19" t="s">
        <v>807</v>
      </c>
      <c r="C82" s="19" t="s">
        <v>823</v>
      </c>
      <c r="D82" s="20" t="s">
        <v>20</v>
      </c>
      <c r="E82" s="19" t="s">
        <v>824</v>
      </c>
      <c r="F82" s="19"/>
    </row>
    <row r="83" customFormat="false" ht="15" hidden="false" customHeight="false" outlineLevel="0" collapsed="false">
      <c r="A83" s="19" t="s">
        <v>825</v>
      </c>
      <c r="B83" s="19" t="s">
        <v>826</v>
      </c>
      <c r="C83" s="19" t="s">
        <v>827</v>
      </c>
      <c r="D83" s="20" t="s">
        <v>20</v>
      </c>
      <c r="E83" s="19" t="s">
        <v>828</v>
      </c>
      <c r="F83" s="19"/>
    </row>
    <row r="84" customFormat="false" ht="15" hidden="false" customHeight="false" outlineLevel="0" collapsed="false">
      <c r="A84" s="19" t="s">
        <v>829</v>
      </c>
      <c r="B84" s="19" t="s">
        <v>826</v>
      </c>
      <c r="C84" s="19" t="s">
        <v>830</v>
      </c>
      <c r="D84" s="20" t="s">
        <v>20</v>
      </c>
      <c r="E84" s="19" t="s">
        <v>831</v>
      </c>
      <c r="F84" s="19"/>
    </row>
    <row r="85" customFormat="false" ht="15" hidden="false" customHeight="false" outlineLevel="0" collapsed="false">
      <c r="A85" s="19" t="s">
        <v>832</v>
      </c>
      <c r="B85" s="19" t="s">
        <v>826</v>
      </c>
      <c r="C85" s="19" t="s">
        <v>833</v>
      </c>
      <c r="D85" s="20" t="s">
        <v>20</v>
      </c>
      <c r="E85" s="19" t="s">
        <v>834</v>
      </c>
      <c r="F85" s="19"/>
    </row>
    <row r="86" customFormat="false" ht="15" hidden="false" customHeight="false" outlineLevel="0" collapsed="false">
      <c r="A86" s="19" t="s">
        <v>835</v>
      </c>
      <c r="B86" s="19" t="s">
        <v>826</v>
      </c>
      <c r="C86" s="19" t="s">
        <v>836</v>
      </c>
      <c r="D86" s="20" t="s">
        <v>20</v>
      </c>
      <c r="E86" s="19" t="s">
        <v>837</v>
      </c>
      <c r="F86" s="19"/>
    </row>
    <row r="87" customFormat="false" ht="15" hidden="false" customHeight="false" outlineLevel="0" collapsed="false">
      <c r="A87" s="19" t="s">
        <v>838</v>
      </c>
      <c r="B87" s="19" t="s">
        <v>826</v>
      </c>
      <c r="C87" s="19" t="s">
        <v>839</v>
      </c>
      <c r="D87" s="20" t="s">
        <v>20</v>
      </c>
      <c r="E87" s="19" t="s">
        <v>840</v>
      </c>
      <c r="F87" s="19"/>
    </row>
    <row r="88" customFormat="false" ht="15" hidden="false" customHeight="false" outlineLevel="0" collapsed="false">
      <c r="A88" s="19" t="s">
        <v>841</v>
      </c>
      <c r="B88" s="19" t="s">
        <v>826</v>
      </c>
      <c r="C88" s="19" t="s">
        <v>842</v>
      </c>
      <c r="D88" s="20" t="s">
        <v>25</v>
      </c>
      <c r="E88" s="19"/>
      <c r="F88" s="19"/>
    </row>
    <row r="89" customFormat="false" ht="15" hidden="false" customHeight="false" outlineLevel="0" collapsed="false">
      <c r="A89" s="19" t="s">
        <v>843</v>
      </c>
      <c r="B89" s="19" t="s">
        <v>826</v>
      </c>
      <c r="C89" s="19" t="s">
        <v>844</v>
      </c>
      <c r="D89" s="20" t="s">
        <v>20</v>
      </c>
      <c r="E89" s="19" t="s">
        <v>845</v>
      </c>
      <c r="F89" s="19"/>
    </row>
    <row r="90" customFormat="false" ht="15" hidden="false" customHeight="false" outlineLevel="0" collapsed="false">
      <c r="A90" s="19" t="s">
        <v>846</v>
      </c>
      <c r="B90" s="19" t="s">
        <v>847</v>
      </c>
      <c r="C90" s="19" t="s">
        <v>848</v>
      </c>
      <c r="D90" s="20" t="s">
        <v>20</v>
      </c>
      <c r="E90" s="19" t="s">
        <v>849</v>
      </c>
      <c r="F90" s="19"/>
    </row>
    <row r="91" customFormat="false" ht="15" hidden="false" customHeight="false" outlineLevel="0" collapsed="false">
      <c r="A91" s="19" t="s">
        <v>850</v>
      </c>
      <c r="B91" s="19" t="s">
        <v>847</v>
      </c>
      <c r="C91" s="19" t="s">
        <v>851</v>
      </c>
      <c r="D91" s="20" t="s">
        <v>20</v>
      </c>
      <c r="E91" s="19" t="s">
        <v>852</v>
      </c>
      <c r="F91" s="19"/>
    </row>
    <row r="92" customFormat="false" ht="15" hidden="false" customHeight="false" outlineLevel="0" collapsed="false">
      <c r="A92" s="19" t="s">
        <v>853</v>
      </c>
      <c r="B92" s="19" t="s">
        <v>847</v>
      </c>
      <c r="C92" s="19" t="s">
        <v>854</v>
      </c>
      <c r="D92" s="20" t="s">
        <v>20</v>
      </c>
      <c r="E92" s="19" t="s">
        <v>855</v>
      </c>
      <c r="F92" s="19"/>
    </row>
    <row r="93" customFormat="false" ht="15" hidden="false" customHeight="false" outlineLevel="0" collapsed="false">
      <c r="A93" s="19" t="s">
        <v>856</v>
      </c>
      <c r="B93" s="19" t="s">
        <v>847</v>
      </c>
      <c r="C93" s="19" t="s">
        <v>857</v>
      </c>
      <c r="D93" s="20" t="s">
        <v>20</v>
      </c>
      <c r="E93" s="19" t="s">
        <v>858</v>
      </c>
      <c r="F93" s="19"/>
    </row>
    <row r="94" customFormat="false" ht="15" hidden="false" customHeight="false" outlineLevel="0" collapsed="false">
      <c r="A94" s="19" t="s">
        <v>859</v>
      </c>
      <c r="B94" s="19" t="s">
        <v>847</v>
      </c>
      <c r="C94" s="19" t="s">
        <v>860</v>
      </c>
      <c r="D94" s="20" t="s">
        <v>22</v>
      </c>
      <c r="E94" s="19" t="s">
        <v>861</v>
      </c>
      <c r="F94" s="19"/>
    </row>
    <row r="95" customFormat="false" ht="15" hidden="false" customHeight="false" outlineLevel="0" collapsed="false">
      <c r="A95" s="19" t="s">
        <v>862</v>
      </c>
      <c r="B95" s="19" t="s">
        <v>847</v>
      </c>
      <c r="C95" s="19" t="s">
        <v>863</v>
      </c>
      <c r="D95" s="20" t="s">
        <v>20</v>
      </c>
      <c r="E95" s="19" t="s">
        <v>864</v>
      </c>
      <c r="F95" s="19"/>
    </row>
    <row r="96" customFormat="false" ht="15" hidden="false" customHeight="false" outlineLevel="0" collapsed="false">
      <c r="A96" s="19" t="s">
        <v>865</v>
      </c>
      <c r="B96" s="19" t="s">
        <v>866</v>
      </c>
      <c r="C96" s="19" t="s">
        <v>867</v>
      </c>
      <c r="D96" s="20" t="s">
        <v>20</v>
      </c>
      <c r="E96" s="19" t="s">
        <v>868</v>
      </c>
      <c r="F96" s="19"/>
    </row>
    <row r="97" customFormat="false" ht="15" hidden="false" customHeight="false" outlineLevel="0" collapsed="false">
      <c r="A97" s="19" t="s">
        <v>869</v>
      </c>
      <c r="B97" s="19" t="s">
        <v>866</v>
      </c>
      <c r="C97" s="19" t="s">
        <v>870</v>
      </c>
      <c r="D97" s="20" t="s">
        <v>20</v>
      </c>
      <c r="E97" s="19" t="s">
        <v>871</v>
      </c>
      <c r="F97" s="19"/>
    </row>
    <row r="98" customFormat="false" ht="22.35" hidden="false" customHeight="false" outlineLevel="0" collapsed="false">
      <c r="A98" s="19" t="s">
        <v>872</v>
      </c>
      <c r="B98" s="19" t="s">
        <v>866</v>
      </c>
      <c r="C98" s="19" t="s">
        <v>873</v>
      </c>
      <c r="D98" s="20" t="s">
        <v>20</v>
      </c>
      <c r="E98" s="19" t="s">
        <v>874</v>
      </c>
      <c r="F98" s="19" t="s">
        <v>875</v>
      </c>
    </row>
    <row r="99" customFormat="false" ht="15" hidden="false" customHeight="false" outlineLevel="0" collapsed="false">
      <c r="A99" s="19" t="s">
        <v>876</v>
      </c>
      <c r="B99" s="19" t="s">
        <v>866</v>
      </c>
      <c r="C99" s="19" t="s">
        <v>877</v>
      </c>
      <c r="D99" s="20" t="s">
        <v>20</v>
      </c>
      <c r="E99" s="19" t="s">
        <v>878</v>
      </c>
      <c r="F99" s="19"/>
    </row>
    <row r="100" customFormat="false" ht="15" hidden="false" customHeight="false" outlineLevel="0" collapsed="false">
      <c r="A100" s="19" t="s">
        <v>879</v>
      </c>
      <c r="B100" s="19" t="s">
        <v>866</v>
      </c>
      <c r="C100" s="19" t="s">
        <v>880</v>
      </c>
      <c r="D100" s="20" t="s">
        <v>20</v>
      </c>
      <c r="E100" s="19" t="s">
        <v>881</v>
      </c>
      <c r="F100" s="19" t="s">
        <v>464</v>
      </c>
    </row>
    <row r="101" customFormat="false" ht="15" hidden="false" customHeight="false" outlineLevel="0" collapsed="false">
      <c r="A101" s="19" t="s">
        <v>882</v>
      </c>
      <c r="B101" s="19" t="s">
        <v>866</v>
      </c>
      <c r="C101" s="19" t="s">
        <v>883</v>
      </c>
      <c r="D101" s="20" t="s">
        <v>20</v>
      </c>
      <c r="E101" s="19" t="s">
        <v>884</v>
      </c>
      <c r="F101" s="19"/>
    </row>
    <row r="102" customFormat="false" ht="15" hidden="false" customHeight="false" outlineLevel="0" collapsed="false">
      <c r="A102" s="19" t="s">
        <v>885</v>
      </c>
      <c r="B102" s="19" t="s">
        <v>886</v>
      </c>
      <c r="C102" s="19" t="s">
        <v>887</v>
      </c>
      <c r="D102" s="20" t="s">
        <v>20</v>
      </c>
      <c r="E102" s="19"/>
      <c r="F102" s="19"/>
    </row>
    <row r="103" customFormat="false" ht="15" hidden="false" customHeight="false" outlineLevel="0" collapsed="false">
      <c r="A103" s="19" t="s">
        <v>888</v>
      </c>
      <c r="B103" s="19" t="s">
        <v>886</v>
      </c>
      <c r="C103" s="19" t="s">
        <v>889</v>
      </c>
      <c r="D103" s="20" t="s">
        <v>20</v>
      </c>
      <c r="E103" s="19" t="s">
        <v>890</v>
      </c>
      <c r="F103" s="19"/>
    </row>
    <row r="104" customFormat="false" ht="15" hidden="false" customHeight="false" outlineLevel="0" collapsed="false">
      <c r="A104" s="19" t="s">
        <v>891</v>
      </c>
      <c r="B104" s="19" t="s">
        <v>886</v>
      </c>
      <c r="C104" s="19" t="s">
        <v>892</v>
      </c>
      <c r="D104" s="20" t="s">
        <v>20</v>
      </c>
      <c r="E104" s="19" t="s">
        <v>893</v>
      </c>
      <c r="F104" s="19"/>
    </row>
    <row r="105" customFormat="false" ht="15" hidden="false" customHeight="false" outlineLevel="0" collapsed="false">
      <c r="A105" s="19" t="s">
        <v>894</v>
      </c>
      <c r="B105" s="19" t="s">
        <v>886</v>
      </c>
      <c r="C105" s="19" t="s">
        <v>895</v>
      </c>
      <c r="D105" s="20" t="s">
        <v>21</v>
      </c>
      <c r="E105" s="19" t="s">
        <v>652</v>
      </c>
      <c r="F105" s="19" t="s">
        <v>896</v>
      </c>
    </row>
    <row r="106" customFormat="false" ht="15" hidden="false" customHeight="false" outlineLevel="0" collapsed="false">
      <c r="A106" s="19" t="s">
        <v>897</v>
      </c>
      <c r="B106" s="19" t="s">
        <v>886</v>
      </c>
      <c r="C106" s="19" t="s">
        <v>898</v>
      </c>
      <c r="D106" s="20" t="s">
        <v>20</v>
      </c>
      <c r="E106" s="19" t="s">
        <v>899</v>
      </c>
      <c r="F106" s="19"/>
    </row>
    <row r="107" customFormat="false" ht="15" hidden="false" customHeight="false" outlineLevel="0" collapsed="false">
      <c r="A107" s="19" t="s">
        <v>900</v>
      </c>
      <c r="B107" s="19" t="s">
        <v>901</v>
      </c>
      <c r="C107" s="19" t="s">
        <v>902</v>
      </c>
      <c r="D107" s="20" t="s">
        <v>20</v>
      </c>
      <c r="E107" s="19" t="s">
        <v>903</v>
      </c>
      <c r="F107" s="19"/>
    </row>
    <row r="108" customFormat="false" ht="15" hidden="false" customHeight="false" outlineLevel="0" collapsed="false">
      <c r="A108" s="19" t="s">
        <v>904</v>
      </c>
      <c r="B108" s="19" t="s">
        <v>901</v>
      </c>
      <c r="C108" s="19" t="s">
        <v>905</v>
      </c>
      <c r="D108" s="20" t="s">
        <v>20</v>
      </c>
      <c r="E108" s="19" t="s">
        <v>906</v>
      </c>
      <c r="F108" s="19"/>
    </row>
    <row r="109" customFormat="false" ht="22.35" hidden="false" customHeight="false" outlineLevel="0" collapsed="false">
      <c r="A109" s="19" t="s">
        <v>907</v>
      </c>
      <c r="B109" s="19" t="s">
        <v>901</v>
      </c>
      <c r="C109" s="19" t="s">
        <v>908</v>
      </c>
      <c r="D109" s="20" t="s">
        <v>27</v>
      </c>
      <c r="E109" s="19" t="s">
        <v>909</v>
      </c>
      <c r="F109" s="19"/>
    </row>
    <row r="110" customFormat="false" ht="15" hidden="false" customHeight="false" outlineLevel="0" collapsed="false">
      <c r="A110" s="19" t="s">
        <v>910</v>
      </c>
      <c r="B110" s="19" t="s">
        <v>901</v>
      </c>
      <c r="C110" s="19" t="s">
        <v>911</v>
      </c>
      <c r="D110" s="20" t="s">
        <v>20</v>
      </c>
      <c r="E110" s="19" t="s">
        <v>912</v>
      </c>
      <c r="F110" s="19"/>
    </row>
    <row r="111" customFormat="false" ht="15" hidden="false" customHeight="false" outlineLevel="0" collapsed="false">
      <c r="A111" s="19" t="s">
        <v>913</v>
      </c>
      <c r="B111" s="19" t="s">
        <v>914</v>
      </c>
      <c r="C111" s="19" t="s">
        <v>915</v>
      </c>
      <c r="D111" s="20" t="s">
        <v>20</v>
      </c>
      <c r="E111" s="19" t="s">
        <v>916</v>
      </c>
      <c r="F111" s="19"/>
    </row>
    <row r="112" customFormat="false" ht="15" hidden="false" customHeight="false" outlineLevel="0" collapsed="false">
      <c r="A112" s="19" t="s">
        <v>917</v>
      </c>
      <c r="B112" s="19" t="s">
        <v>914</v>
      </c>
      <c r="C112" s="19" t="s">
        <v>918</v>
      </c>
      <c r="D112" s="20" t="s">
        <v>24</v>
      </c>
      <c r="E112" s="19" t="s">
        <v>919</v>
      </c>
      <c r="F112" s="19"/>
    </row>
    <row r="113" customFormat="false" ht="22.35" hidden="false" customHeight="false" outlineLevel="0" collapsed="false">
      <c r="A113" s="19" t="s">
        <v>920</v>
      </c>
      <c r="B113" s="19" t="s">
        <v>914</v>
      </c>
      <c r="C113" s="19" t="s">
        <v>921</v>
      </c>
      <c r="D113" s="20" t="s">
        <v>21</v>
      </c>
      <c r="E113" s="19" t="s">
        <v>922</v>
      </c>
      <c r="F113" s="19" t="s">
        <v>923</v>
      </c>
    </row>
    <row r="114" customFormat="false" ht="15" hidden="false" customHeight="false" outlineLevel="0" collapsed="false">
      <c r="A114" s="19" t="s">
        <v>924</v>
      </c>
      <c r="B114" s="19" t="s">
        <v>925</v>
      </c>
      <c r="C114" s="19" t="s">
        <v>926</v>
      </c>
      <c r="D114" s="20" t="s">
        <v>20</v>
      </c>
      <c r="E114" s="19" t="s">
        <v>927</v>
      </c>
      <c r="F114" s="19" t="s">
        <v>928</v>
      </c>
    </row>
    <row r="115" customFormat="false" ht="15" hidden="false" customHeight="false" outlineLevel="0" collapsed="false">
      <c r="A115" s="19" t="s">
        <v>929</v>
      </c>
      <c r="B115" s="19" t="s">
        <v>925</v>
      </c>
      <c r="C115" s="19" t="s">
        <v>930</v>
      </c>
      <c r="D115" s="20" t="s">
        <v>20</v>
      </c>
      <c r="E115" s="19"/>
      <c r="F115" s="19"/>
    </row>
    <row r="116" customFormat="false" ht="22.35" hidden="false" customHeight="false" outlineLevel="0" collapsed="false">
      <c r="A116" s="19" t="s">
        <v>931</v>
      </c>
      <c r="B116" s="19" t="s">
        <v>925</v>
      </c>
      <c r="C116" s="19" t="s">
        <v>932</v>
      </c>
      <c r="D116" s="20" t="s">
        <v>22</v>
      </c>
      <c r="E116" s="19" t="s">
        <v>933</v>
      </c>
      <c r="F116" s="19"/>
    </row>
    <row r="117" customFormat="false" ht="15" hidden="false" customHeight="false" outlineLevel="0" collapsed="false">
      <c r="A117" s="19" t="s">
        <v>934</v>
      </c>
      <c r="B117" s="19" t="s">
        <v>935</v>
      </c>
      <c r="C117" s="19" t="s">
        <v>936</v>
      </c>
      <c r="D117" s="20" t="s">
        <v>20</v>
      </c>
      <c r="E117" s="19" t="s">
        <v>937</v>
      </c>
      <c r="F117" s="19"/>
    </row>
    <row r="118" customFormat="false" ht="22.35" hidden="false" customHeight="false" outlineLevel="0" collapsed="false">
      <c r="A118" s="19" t="s">
        <v>938</v>
      </c>
      <c r="B118" s="19" t="s">
        <v>935</v>
      </c>
      <c r="C118" s="19" t="s">
        <v>939</v>
      </c>
      <c r="D118" s="20" t="s">
        <v>20</v>
      </c>
      <c r="E118" s="19" t="s">
        <v>940</v>
      </c>
      <c r="F118" s="19"/>
    </row>
    <row r="119" customFormat="false" ht="22.35" hidden="false" customHeight="false" outlineLevel="0" collapsed="false">
      <c r="A119" s="19" t="s">
        <v>941</v>
      </c>
      <c r="B119" s="19" t="s">
        <v>942</v>
      </c>
      <c r="C119" s="19" t="s">
        <v>943</v>
      </c>
      <c r="D119" s="20" t="s">
        <v>22</v>
      </c>
      <c r="E119" s="19" t="s">
        <v>944</v>
      </c>
      <c r="F119" s="19" t="s">
        <v>945</v>
      </c>
    </row>
    <row r="120" customFormat="false" ht="15" hidden="false" customHeight="false" outlineLevel="0" collapsed="false">
      <c r="A120" s="19" t="s">
        <v>946</v>
      </c>
      <c r="B120" s="19" t="s">
        <v>942</v>
      </c>
      <c r="C120" s="19" t="s">
        <v>947</v>
      </c>
      <c r="D120" s="20" t="s">
        <v>24</v>
      </c>
      <c r="E120" s="19" t="s">
        <v>948</v>
      </c>
      <c r="F120" s="19"/>
    </row>
    <row r="121" customFormat="false" ht="15" hidden="false" customHeight="false" outlineLevel="0" collapsed="false">
      <c r="A121" s="19" t="s">
        <v>949</v>
      </c>
      <c r="B121" s="19" t="s">
        <v>942</v>
      </c>
      <c r="C121" s="19" t="s">
        <v>950</v>
      </c>
      <c r="D121" s="20" t="s">
        <v>24</v>
      </c>
      <c r="E121" s="19"/>
      <c r="F121" s="19"/>
    </row>
    <row r="122" customFormat="false" ht="15" hidden="false" customHeight="false" outlineLevel="0" collapsed="false">
      <c r="A122" s="19" t="s">
        <v>951</v>
      </c>
      <c r="B122" s="19" t="s">
        <v>952</v>
      </c>
      <c r="C122" s="19" t="s">
        <v>953</v>
      </c>
      <c r="D122" s="20" t="s">
        <v>22</v>
      </c>
      <c r="E122" s="19" t="s">
        <v>954</v>
      </c>
      <c r="F122" s="19" t="s">
        <v>802</v>
      </c>
    </row>
    <row r="123" customFormat="false" ht="15" hidden="false" customHeight="false" outlineLevel="0" collapsed="false">
      <c r="A123" s="19" t="s">
        <v>955</v>
      </c>
      <c r="B123" s="19" t="s">
        <v>952</v>
      </c>
      <c r="C123" s="19" t="s">
        <v>956</v>
      </c>
      <c r="D123" s="20" t="s">
        <v>20</v>
      </c>
      <c r="E123" s="19"/>
      <c r="F123" s="19"/>
    </row>
    <row r="124" customFormat="false" ht="15" hidden="false" customHeight="false" outlineLevel="0" collapsed="false">
      <c r="A124" s="19" t="s">
        <v>957</v>
      </c>
      <c r="B124" s="19" t="s">
        <v>952</v>
      </c>
      <c r="C124" s="19" t="s">
        <v>958</v>
      </c>
      <c r="D124" s="20" t="s">
        <v>20</v>
      </c>
      <c r="E124" s="19" t="s">
        <v>959</v>
      </c>
      <c r="F124" s="19"/>
    </row>
    <row r="125" customFormat="false" ht="15" hidden="false" customHeight="false" outlineLevel="0" collapsed="false">
      <c r="A125" s="19" t="s">
        <v>960</v>
      </c>
      <c r="B125" s="19" t="s">
        <v>952</v>
      </c>
      <c r="C125" s="19" t="s">
        <v>961</v>
      </c>
      <c r="D125" s="20" t="s">
        <v>20</v>
      </c>
      <c r="E125" s="19" t="s">
        <v>962</v>
      </c>
      <c r="F125" s="19"/>
    </row>
    <row r="126" customFormat="false" ht="15" hidden="false" customHeight="false" outlineLevel="0" collapsed="false">
      <c r="A126" s="19" t="s">
        <v>963</v>
      </c>
      <c r="B126" s="19" t="s">
        <v>952</v>
      </c>
      <c r="C126" s="19" t="s">
        <v>964</v>
      </c>
      <c r="D126" s="20" t="s">
        <v>20</v>
      </c>
      <c r="E126" s="19" t="s">
        <v>965</v>
      </c>
      <c r="F126" s="19"/>
    </row>
    <row r="127" customFormat="false" ht="15" hidden="false" customHeight="false" outlineLevel="0" collapsed="false">
      <c r="A127" s="19" t="s">
        <v>966</v>
      </c>
      <c r="B127" s="19" t="s">
        <v>952</v>
      </c>
      <c r="C127" s="19" t="s">
        <v>967</v>
      </c>
      <c r="D127" s="20" t="s">
        <v>20</v>
      </c>
      <c r="E127" s="19" t="s">
        <v>968</v>
      </c>
      <c r="F127" s="19"/>
    </row>
    <row r="128" customFormat="false" ht="15" hidden="false" customHeight="false" outlineLevel="0" collapsed="false">
      <c r="A128" s="19" t="s">
        <v>969</v>
      </c>
      <c r="B128" s="19" t="s">
        <v>970</v>
      </c>
      <c r="C128" s="19" t="s">
        <v>971</v>
      </c>
      <c r="D128" s="20" t="s">
        <v>20</v>
      </c>
      <c r="E128" s="19" t="s">
        <v>972</v>
      </c>
      <c r="F128" s="19"/>
    </row>
    <row r="129" customFormat="false" ht="15" hidden="false" customHeight="false" outlineLevel="0" collapsed="false">
      <c r="A129" s="19" t="s">
        <v>973</v>
      </c>
      <c r="B129" s="19" t="s">
        <v>970</v>
      </c>
      <c r="C129" s="19" t="s">
        <v>974</v>
      </c>
      <c r="D129" s="20" t="s">
        <v>24</v>
      </c>
      <c r="E129" s="19" t="s">
        <v>975</v>
      </c>
      <c r="F129" s="19"/>
    </row>
    <row r="130" customFormat="false" ht="15" hidden="false" customHeight="false" outlineLevel="0" collapsed="false">
      <c r="A130" s="19" t="s">
        <v>976</v>
      </c>
      <c r="B130" s="19" t="s">
        <v>970</v>
      </c>
      <c r="C130" s="19" t="s">
        <v>977</v>
      </c>
      <c r="D130" s="20" t="s">
        <v>21</v>
      </c>
      <c r="E130" s="19" t="s">
        <v>978</v>
      </c>
      <c r="F130" s="19" t="s">
        <v>566</v>
      </c>
    </row>
    <row r="131" customFormat="false" ht="15" hidden="false" customHeight="false" outlineLevel="0" collapsed="false">
      <c r="A131" s="19" t="s">
        <v>979</v>
      </c>
      <c r="B131" s="19" t="s">
        <v>980</v>
      </c>
      <c r="C131" s="19" t="s">
        <v>981</v>
      </c>
      <c r="D131" s="20" t="s">
        <v>20</v>
      </c>
      <c r="E131" s="19" t="s">
        <v>982</v>
      </c>
      <c r="F131" s="19"/>
    </row>
    <row r="132" customFormat="false" ht="15" hidden="false" customHeight="false" outlineLevel="0" collapsed="false">
      <c r="A132" s="19" t="s">
        <v>983</v>
      </c>
      <c r="B132" s="19" t="s">
        <v>980</v>
      </c>
      <c r="C132" s="19" t="s">
        <v>984</v>
      </c>
      <c r="D132" s="20" t="s">
        <v>24</v>
      </c>
      <c r="E132" s="19" t="s">
        <v>985</v>
      </c>
      <c r="F132" s="19"/>
    </row>
    <row r="133" customFormat="false" ht="15" hidden="false" customHeight="false" outlineLevel="0" collapsed="false">
      <c r="A133" s="19" t="s">
        <v>986</v>
      </c>
      <c r="B133" s="19" t="s">
        <v>980</v>
      </c>
      <c r="C133" s="19" t="s">
        <v>987</v>
      </c>
      <c r="D133" s="20" t="s">
        <v>20</v>
      </c>
      <c r="E133" s="19" t="s">
        <v>988</v>
      </c>
      <c r="F133" s="19"/>
    </row>
    <row r="134" customFormat="false" ht="15" hidden="false" customHeight="false" outlineLevel="0" collapsed="false">
      <c r="A134" s="19" t="s">
        <v>989</v>
      </c>
      <c r="B134" s="19" t="s">
        <v>980</v>
      </c>
      <c r="C134" s="19" t="s">
        <v>990</v>
      </c>
      <c r="D134" s="20" t="s">
        <v>24</v>
      </c>
      <c r="E134" s="19" t="s">
        <v>991</v>
      </c>
      <c r="F134" s="19"/>
    </row>
    <row r="135" customFormat="false" ht="15" hidden="false" customHeight="false" outlineLevel="0" collapsed="false">
      <c r="A135" s="19" t="s">
        <v>992</v>
      </c>
      <c r="B135" s="19" t="s">
        <v>993</v>
      </c>
      <c r="C135" s="19" t="s">
        <v>994</v>
      </c>
      <c r="D135" s="20" t="s">
        <v>20</v>
      </c>
      <c r="E135" s="19" t="s">
        <v>995</v>
      </c>
      <c r="F135" s="19"/>
    </row>
    <row r="136" customFormat="false" ht="15" hidden="false" customHeight="false" outlineLevel="0" collapsed="false">
      <c r="A136" s="19" t="s">
        <v>996</v>
      </c>
      <c r="B136" s="19" t="s">
        <v>993</v>
      </c>
      <c r="C136" s="19" t="s">
        <v>997</v>
      </c>
      <c r="D136" s="20" t="s">
        <v>22</v>
      </c>
      <c r="E136" s="19" t="s">
        <v>998</v>
      </c>
      <c r="F136" s="19"/>
    </row>
    <row r="137" customFormat="false" ht="15" hidden="false" customHeight="false" outlineLevel="0" collapsed="false">
      <c r="A137" s="19" t="s">
        <v>999</v>
      </c>
      <c r="B137" s="19" t="s">
        <v>993</v>
      </c>
      <c r="C137" s="19" t="s">
        <v>1000</v>
      </c>
      <c r="D137" s="20" t="s">
        <v>24</v>
      </c>
      <c r="E137" s="19"/>
      <c r="F137" s="19"/>
    </row>
  </sheetData>
  <autoFilter ref="A1:F137"/>
  <conditionalFormatting sqref="D2:D137">
    <cfRule type="cellIs" priority="2" operator="equal" aboveAverage="0" equalAverage="0" bottom="0" percent="0" rank="0" text="" dxfId="10">
      <formula>"Pass"</formula>
    </cfRule>
    <cfRule type="cellIs" priority="3" operator="equal" aboveAverage="0" equalAverage="0" bottom="0" percent="0" rank="0" text="" dxfId="11">
      <formula>"Fail"</formula>
    </cfRule>
    <cfRule type="cellIs" priority="4" operator="equal" aboveAverage="0" equalAverage="0" bottom="0" percent="0" rank="0" text="" dxfId="12">
      <formula>"Partial"</formula>
    </cfRule>
    <cfRule type="cellIs" priority="5" operator="equal" aboveAverage="0" equalAverage="0" bottom="0" percent="0" rank="0" text="" dxfId="13">
      <formula>"Blocked"</formula>
    </cfRule>
    <cfRule type="cellIs" priority="6" operator="equal" aboveAverage="0" equalAverage="0" bottom="0" percent="0" rank="0" text="" dxfId="14">
      <formula>"Not Executed"</formula>
    </cfRule>
    <cfRule type="cellIs" priority="7" operator="equal" aboveAverage="0" equalAverage="0" bottom="0" percent="0" rank="0" text="" dxfId="15">
      <formula>"Not Retested"</formula>
    </cfRule>
    <cfRule type="cellIs" priority="8" operator="equal" aboveAverage="0" equalAverage="0" bottom="0" percent="0" rank="0" text="" dxfId="16">
      <formula>"N/A (Phase 2)"</formula>
    </cfRule>
    <cfRule type="cellIs" priority="9" operator="equal" aboveAverage="0" equalAverage="0" bottom="0" percent="0" rank="0" text="" dxfId="16">
      <formula>"N/A (Open item)"</formula>
    </cfRule>
    <cfRule type="cellIs" priority="10" operator="equal" aboveAverage="0" equalAverage="0" bottom="0" percent="0" rank="0" text="" dxfId="16">
      <formula>"N/A"</formula>
    </cfRule>
    <cfRule type="cellIs" priority="11" operator="equal" aboveAverage="0" equalAverage="0" bottom="0" percent="0" rank="0" text="" dxfId="10">
      <formula>"Fixed"</formula>
    </cfRule>
    <cfRule type="cellIs" priority="12" operator="equal" aboveAverage="0" equalAverage="0" bottom="0" percent="0" rank="0" text="" dxfId="12">
      <formula>"Partially fixed"</formula>
    </cfRule>
    <cfRule type="cellIs" priority="13" operator="equal" aboveAverage="0" equalAverage="0" bottom="0" percent="0" rank="0" text="" dxfId="11">
      <formula>"Open"</formula>
    </cfRule>
    <cfRule type="cellIs" priority="14" operator="equal" aboveAverage="0" equalAverage="0" bottom="0" percent="0" rank="0" text="" dxfId="17">
      <formula>"New"</formula>
    </cfRule>
    <cfRule type="cellIs" priority="15" operator="equal" aboveAverage="0" equalAverage="0" bottom="0" percent="0" rank="0" text="" dxfId="15">
      <formula>"Withdrawn"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48"/>
    <col collapsed="false" customWidth="true" hidden="false" outlineLevel="0" max="4" min="4" style="0" width="12"/>
    <col collapsed="false" customWidth="true" hidden="false" outlineLevel="0" max="5" min="5" style="0" width="60"/>
  </cols>
  <sheetData>
    <row r="1" customFormat="false" ht="15" hidden="false" customHeight="false" outlineLevel="0" collapsed="false">
      <c r="A1" s="18" t="s">
        <v>1001</v>
      </c>
      <c r="B1" s="18" t="s">
        <v>1002</v>
      </c>
      <c r="C1" s="18" t="s">
        <v>1003</v>
      </c>
      <c r="D1" s="18" t="s">
        <v>13</v>
      </c>
      <c r="E1" s="18" t="s">
        <v>1004</v>
      </c>
    </row>
    <row r="2" customFormat="false" ht="15" hidden="false" customHeight="false" outlineLevel="0" collapsed="false">
      <c r="A2" s="19" t="n">
        <v>1</v>
      </c>
      <c r="B2" s="19" t="s">
        <v>1005</v>
      </c>
      <c r="C2" s="19" t="s">
        <v>1006</v>
      </c>
      <c r="D2" s="20" t="s">
        <v>20</v>
      </c>
      <c r="E2" s="19" t="s">
        <v>1007</v>
      </c>
    </row>
    <row r="3" customFormat="false" ht="15" hidden="false" customHeight="false" outlineLevel="0" collapsed="false">
      <c r="A3" s="19" t="n">
        <v>2</v>
      </c>
      <c r="B3" s="19" t="s">
        <v>1008</v>
      </c>
      <c r="C3" s="19" t="s">
        <v>1009</v>
      </c>
      <c r="D3" s="20" t="s">
        <v>20</v>
      </c>
      <c r="E3" s="19" t="s">
        <v>1010</v>
      </c>
    </row>
    <row r="4" customFormat="false" ht="15" hidden="false" customHeight="false" outlineLevel="0" collapsed="false">
      <c r="A4" s="19" t="n">
        <v>3</v>
      </c>
      <c r="B4" s="19" t="s">
        <v>1011</v>
      </c>
      <c r="C4" s="19" t="s">
        <v>1012</v>
      </c>
      <c r="D4" s="20" t="s">
        <v>20</v>
      </c>
      <c r="E4" s="19" t="s">
        <v>1013</v>
      </c>
    </row>
    <row r="5" customFormat="false" ht="15" hidden="false" customHeight="false" outlineLevel="0" collapsed="false">
      <c r="A5" s="19" t="n">
        <v>4</v>
      </c>
      <c r="B5" s="19" t="s">
        <v>1014</v>
      </c>
      <c r="C5" s="19" t="s">
        <v>1015</v>
      </c>
      <c r="D5" s="20" t="s">
        <v>20</v>
      </c>
      <c r="E5" s="19" t="s">
        <v>1016</v>
      </c>
    </row>
    <row r="6" customFormat="false" ht="15" hidden="false" customHeight="false" outlineLevel="0" collapsed="false">
      <c r="A6" s="19" t="n">
        <v>5</v>
      </c>
      <c r="B6" s="19" t="s">
        <v>1017</v>
      </c>
      <c r="C6" s="19" t="s">
        <v>1018</v>
      </c>
      <c r="D6" s="20" t="s">
        <v>20</v>
      </c>
      <c r="E6" s="19" t="s">
        <v>1019</v>
      </c>
    </row>
    <row r="7" customFormat="false" ht="15" hidden="false" customHeight="false" outlineLevel="0" collapsed="false">
      <c r="A7" s="19" t="n">
        <v>6</v>
      </c>
      <c r="B7" s="19" t="s">
        <v>1020</v>
      </c>
      <c r="C7" s="19" t="s">
        <v>1021</v>
      </c>
      <c r="D7" s="20" t="s">
        <v>20</v>
      </c>
      <c r="E7" s="19" t="s">
        <v>1022</v>
      </c>
    </row>
    <row r="8" customFormat="false" ht="15" hidden="false" customHeight="false" outlineLevel="0" collapsed="false">
      <c r="A8" s="19" t="n">
        <v>7</v>
      </c>
      <c r="B8" s="19" t="s">
        <v>1023</v>
      </c>
      <c r="C8" s="19" t="s">
        <v>1024</v>
      </c>
      <c r="D8" s="20" t="s">
        <v>20</v>
      </c>
      <c r="E8" s="19" t="s">
        <v>1025</v>
      </c>
    </row>
    <row r="9" customFormat="false" ht="15" hidden="false" customHeight="false" outlineLevel="0" collapsed="false">
      <c r="A9" s="19" t="n">
        <v>8</v>
      </c>
      <c r="B9" s="19" t="s">
        <v>1026</v>
      </c>
      <c r="C9" s="19" t="s">
        <v>1027</v>
      </c>
      <c r="D9" s="20" t="s">
        <v>20</v>
      </c>
      <c r="E9" s="19" t="s">
        <v>1028</v>
      </c>
    </row>
    <row r="10" customFormat="false" ht="15" hidden="false" customHeight="false" outlineLevel="0" collapsed="false">
      <c r="A10" s="19" t="n">
        <v>9</v>
      </c>
      <c r="B10" s="19" t="s">
        <v>1029</v>
      </c>
      <c r="C10" s="19" t="s">
        <v>1030</v>
      </c>
      <c r="D10" s="20" t="s">
        <v>20</v>
      </c>
      <c r="E10" s="19" t="s">
        <v>1031</v>
      </c>
    </row>
    <row r="11" customFormat="false" ht="15" hidden="false" customHeight="false" outlineLevel="0" collapsed="false">
      <c r="A11" s="19" t="n">
        <v>10</v>
      </c>
      <c r="B11" s="19" t="s">
        <v>1032</v>
      </c>
      <c r="C11" s="19" t="s">
        <v>1033</v>
      </c>
      <c r="D11" s="20" t="s">
        <v>20</v>
      </c>
      <c r="E11" s="19" t="s">
        <v>1034</v>
      </c>
    </row>
    <row r="12" customFormat="false" ht="22.35" hidden="false" customHeight="false" outlineLevel="0" collapsed="false">
      <c r="A12" s="19" t="n">
        <v>11</v>
      </c>
      <c r="B12" s="19" t="s">
        <v>1035</v>
      </c>
      <c r="C12" s="19" t="s">
        <v>1036</v>
      </c>
      <c r="D12" s="20" t="s">
        <v>20</v>
      </c>
      <c r="E12" s="19" t="s">
        <v>1037</v>
      </c>
    </row>
    <row r="13" customFormat="false" ht="15" hidden="false" customHeight="false" outlineLevel="0" collapsed="false">
      <c r="A13" s="19" t="n">
        <v>12</v>
      </c>
      <c r="B13" s="19" t="s">
        <v>1038</v>
      </c>
      <c r="C13" s="19" t="s">
        <v>1039</v>
      </c>
      <c r="D13" s="20" t="s">
        <v>20</v>
      </c>
      <c r="E13" s="19" t="s">
        <v>1040</v>
      </c>
    </row>
    <row r="14" customFormat="false" ht="15" hidden="false" customHeight="false" outlineLevel="0" collapsed="false">
      <c r="A14" s="19" t="n">
        <v>13</v>
      </c>
      <c r="B14" s="19" t="s">
        <v>1041</v>
      </c>
      <c r="C14" s="19" t="s">
        <v>1042</v>
      </c>
      <c r="D14" s="20" t="s">
        <v>22</v>
      </c>
      <c r="E14" s="19" t="s">
        <v>1043</v>
      </c>
    </row>
    <row r="15" customFormat="false" ht="15" hidden="false" customHeight="false" outlineLevel="0" collapsed="false">
      <c r="A15" s="19" t="n">
        <v>14</v>
      </c>
      <c r="B15" s="19" t="s">
        <v>1044</v>
      </c>
      <c r="C15" s="19" t="s">
        <v>1045</v>
      </c>
      <c r="D15" s="20" t="s">
        <v>20</v>
      </c>
      <c r="E15" s="19" t="s">
        <v>1046</v>
      </c>
    </row>
    <row r="16" customFormat="false" ht="15" hidden="false" customHeight="false" outlineLevel="0" collapsed="false">
      <c r="A16" s="19" t="n">
        <v>15</v>
      </c>
      <c r="B16" s="19" t="s">
        <v>1047</v>
      </c>
      <c r="C16" s="19" t="s">
        <v>1048</v>
      </c>
      <c r="D16" s="20" t="s">
        <v>20</v>
      </c>
      <c r="E16" s="19" t="s">
        <v>1049</v>
      </c>
    </row>
    <row r="17" customFormat="false" ht="15" hidden="false" customHeight="false" outlineLevel="0" collapsed="false">
      <c r="A17" s="19" t="n">
        <v>16</v>
      </c>
      <c r="B17" s="19" t="s">
        <v>1050</v>
      </c>
      <c r="C17" s="19" t="s">
        <v>1051</v>
      </c>
      <c r="D17" s="20" t="s">
        <v>20</v>
      </c>
      <c r="E17" s="19" t="s">
        <v>1052</v>
      </c>
    </row>
    <row r="18" customFormat="false" ht="15" hidden="false" customHeight="false" outlineLevel="0" collapsed="false">
      <c r="A18" s="19" t="n">
        <v>17</v>
      </c>
      <c r="B18" s="19" t="s">
        <v>413</v>
      </c>
      <c r="C18" s="19" t="s">
        <v>1053</v>
      </c>
      <c r="D18" s="20" t="s">
        <v>20</v>
      </c>
      <c r="E18" s="19" t="s">
        <v>1054</v>
      </c>
    </row>
    <row r="19" customFormat="false" ht="15" hidden="false" customHeight="false" outlineLevel="0" collapsed="false">
      <c r="A19" s="19" t="n">
        <v>18</v>
      </c>
      <c r="B19" s="19" t="s">
        <v>1055</v>
      </c>
      <c r="C19" s="19" t="s">
        <v>1056</v>
      </c>
      <c r="D19" s="20" t="s">
        <v>20</v>
      </c>
      <c r="E19" s="19" t="s">
        <v>1057</v>
      </c>
    </row>
    <row r="20" customFormat="false" ht="15" hidden="false" customHeight="false" outlineLevel="0" collapsed="false">
      <c r="A20" s="19" t="n">
        <v>19</v>
      </c>
      <c r="B20" s="19" t="s">
        <v>1058</v>
      </c>
      <c r="C20" s="19" t="s">
        <v>1059</v>
      </c>
      <c r="D20" s="20" t="s">
        <v>20</v>
      </c>
      <c r="E20" s="19" t="s">
        <v>1060</v>
      </c>
    </row>
    <row r="21" customFormat="false" ht="15" hidden="false" customHeight="false" outlineLevel="0" collapsed="false">
      <c r="A21" s="19" t="n">
        <v>20</v>
      </c>
      <c r="B21" s="19" t="s">
        <v>1061</v>
      </c>
      <c r="C21" s="19" t="s">
        <v>1062</v>
      </c>
      <c r="D21" s="20" t="s">
        <v>20</v>
      </c>
      <c r="E21" s="19" t="s">
        <v>1063</v>
      </c>
    </row>
    <row r="22" customFormat="false" ht="15" hidden="false" customHeight="false" outlineLevel="0" collapsed="false">
      <c r="A22" s="19" t="n">
        <v>21</v>
      </c>
      <c r="B22" s="19" t="s">
        <v>1064</v>
      </c>
      <c r="C22" s="19" t="s">
        <v>1065</v>
      </c>
      <c r="D22" s="20" t="s">
        <v>20</v>
      </c>
      <c r="E22" s="19" t="s">
        <v>1066</v>
      </c>
    </row>
    <row r="23" customFormat="false" ht="15" hidden="false" customHeight="false" outlineLevel="0" collapsed="false">
      <c r="A23" s="19" t="n">
        <v>22</v>
      </c>
      <c r="B23" s="19" t="s">
        <v>1067</v>
      </c>
      <c r="C23" s="19" t="s">
        <v>1068</v>
      </c>
      <c r="D23" s="20" t="s">
        <v>20</v>
      </c>
      <c r="E23" s="19" t="s">
        <v>1069</v>
      </c>
    </row>
  </sheetData>
  <autoFilter ref="A1:E23"/>
  <conditionalFormatting sqref="D2:D23">
    <cfRule type="cellIs" priority="2" operator="equal" aboveAverage="0" equalAverage="0" bottom="0" percent="0" rank="0" text="" dxfId="10">
      <formula>"Pass"</formula>
    </cfRule>
    <cfRule type="cellIs" priority="3" operator="equal" aboveAverage="0" equalAverage="0" bottom="0" percent="0" rank="0" text="" dxfId="11">
      <formula>"Fail"</formula>
    </cfRule>
    <cfRule type="cellIs" priority="4" operator="equal" aboveAverage="0" equalAverage="0" bottom="0" percent="0" rank="0" text="" dxfId="12">
      <formula>"Partial"</formula>
    </cfRule>
    <cfRule type="cellIs" priority="5" operator="equal" aboveAverage="0" equalAverage="0" bottom="0" percent="0" rank="0" text="" dxfId="13">
      <formula>"Blocked"</formula>
    </cfRule>
    <cfRule type="cellIs" priority="6" operator="equal" aboveAverage="0" equalAverage="0" bottom="0" percent="0" rank="0" text="" dxfId="14">
      <formula>"Not Executed"</formula>
    </cfRule>
    <cfRule type="cellIs" priority="7" operator="equal" aboveAverage="0" equalAverage="0" bottom="0" percent="0" rank="0" text="" dxfId="15">
      <formula>"Not Retested"</formula>
    </cfRule>
    <cfRule type="cellIs" priority="8" operator="equal" aboveAverage="0" equalAverage="0" bottom="0" percent="0" rank="0" text="" dxfId="16">
      <formula>"N/A (Phase 2)"</formula>
    </cfRule>
    <cfRule type="cellIs" priority="9" operator="equal" aboveAverage="0" equalAverage="0" bottom="0" percent="0" rank="0" text="" dxfId="16">
      <formula>"N/A (Open item)"</formula>
    </cfRule>
    <cfRule type="cellIs" priority="10" operator="equal" aboveAverage="0" equalAverage="0" bottom="0" percent="0" rank="0" text="" dxfId="16">
      <formula>"N/A"</formula>
    </cfRule>
    <cfRule type="cellIs" priority="11" operator="equal" aboveAverage="0" equalAverage="0" bottom="0" percent="0" rank="0" text="" dxfId="10">
      <formula>"Fixed"</formula>
    </cfRule>
    <cfRule type="cellIs" priority="12" operator="equal" aboveAverage="0" equalAverage="0" bottom="0" percent="0" rank="0" text="" dxfId="12">
      <formula>"Partially fixed"</formula>
    </cfRule>
    <cfRule type="cellIs" priority="13" operator="equal" aboveAverage="0" equalAverage="0" bottom="0" percent="0" rank="0" text="" dxfId="11">
      <formula>"Open"</formula>
    </cfRule>
    <cfRule type="cellIs" priority="14" operator="equal" aboveAverage="0" equalAverage="0" bottom="0" percent="0" rank="0" text="" dxfId="17">
      <formula>"New"</formula>
    </cfRule>
    <cfRule type="cellIs" priority="15" operator="equal" aboveAverage="0" equalAverage="0" bottom="0" percent="0" rank="0" text="" dxfId="15">
      <formula>"Withdrawn"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13"/>
    <col collapsed="false" customWidth="true" hidden="false" outlineLevel="0" max="4" min="4" style="0" width="70"/>
  </cols>
  <sheetData>
    <row r="1" customFormat="false" ht="15" hidden="false" customHeight="false" outlineLevel="0" collapsed="false">
      <c r="A1" s="18" t="s">
        <v>1070</v>
      </c>
      <c r="B1" s="18" t="s">
        <v>1071</v>
      </c>
      <c r="C1" s="18" t="s">
        <v>13</v>
      </c>
      <c r="D1" s="18" t="s">
        <v>1004</v>
      </c>
    </row>
    <row r="2" customFormat="false" ht="15" hidden="false" customHeight="false" outlineLevel="0" collapsed="false">
      <c r="A2" s="19" t="s">
        <v>1072</v>
      </c>
      <c r="B2" s="19" t="s">
        <v>1073</v>
      </c>
      <c r="C2" s="20" t="s">
        <v>20</v>
      </c>
      <c r="D2" s="19" t="s">
        <v>1074</v>
      </c>
    </row>
    <row r="3" customFormat="false" ht="15" hidden="false" customHeight="false" outlineLevel="0" collapsed="false">
      <c r="A3" s="19" t="s">
        <v>1075</v>
      </c>
      <c r="B3" s="19" t="s">
        <v>1076</v>
      </c>
      <c r="C3" s="20" t="s">
        <v>24</v>
      </c>
      <c r="D3" s="19" t="s">
        <v>1077</v>
      </c>
    </row>
    <row r="4" customFormat="false" ht="15" hidden="false" customHeight="false" outlineLevel="0" collapsed="false">
      <c r="A4" s="19" t="s">
        <v>1078</v>
      </c>
      <c r="B4" s="19" t="s">
        <v>1079</v>
      </c>
      <c r="C4" s="20" t="s">
        <v>24</v>
      </c>
      <c r="D4" s="19" t="s">
        <v>1080</v>
      </c>
    </row>
    <row r="5" customFormat="false" ht="15" hidden="false" customHeight="false" outlineLevel="0" collapsed="false">
      <c r="A5" s="19" t="s">
        <v>1081</v>
      </c>
      <c r="B5" s="19" t="s">
        <v>1082</v>
      </c>
      <c r="C5" s="20" t="s">
        <v>24</v>
      </c>
      <c r="D5" s="19" t="s">
        <v>1083</v>
      </c>
    </row>
    <row r="6" customFormat="false" ht="15" hidden="false" customHeight="false" outlineLevel="0" collapsed="false">
      <c r="A6" s="19" t="s">
        <v>1084</v>
      </c>
      <c r="B6" s="19" t="s">
        <v>1085</v>
      </c>
      <c r="C6" s="20" t="s">
        <v>20</v>
      </c>
      <c r="D6" s="19" t="s">
        <v>1086</v>
      </c>
    </row>
    <row r="7" customFormat="false" ht="15" hidden="false" customHeight="false" outlineLevel="0" collapsed="false">
      <c r="A7" s="19" t="s">
        <v>1087</v>
      </c>
      <c r="B7" s="19" t="s">
        <v>1088</v>
      </c>
      <c r="C7" s="20" t="s">
        <v>24</v>
      </c>
      <c r="D7" s="19" t="s">
        <v>1089</v>
      </c>
    </row>
    <row r="8" customFormat="false" ht="15" hidden="false" customHeight="false" outlineLevel="0" collapsed="false">
      <c r="A8" s="19" t="s">
        <v>1090</v>
      </c>
      <c r="B8" s="19" t="s">
        <v>1091</v>
      </c>
      <c r="C8" s="20" t="s">
        <v>20</v>
      </c>
      <c r="D8" s="19" t="s">
        <v>1092</v>
      </c>
    </row>
    <row r="9" customFormat="false" ht="15" hidden="false" customHeight="false" outlineLevel="0" collapsed="false">
      <c r="A9" s="19" t="s">
        <v>1093</v>
      </c>
      <c r="B9" s="19" t="s">
        <v>1094</v>
      </c>
      <c r="C9" s="20" t="s">
        <v>24</v>
      </c>
      <c r="D9" s="19"/>
    </row>
    <row r="10" customFormat="false" ht="15" hidden="false" customHeight="false" outlineLevel="0" collapsed="false">
      <c r="A10" s="19" t="s">
        <v>1095</v>
      </c>
      <c r="B10" s="19" t="s">
        <v>1096</v>
      </c>
      <c r="C10" s="20" t="s">
        <v>28</v>
      </c>
      <c r="D10" s="19" t="s">
        <v>1097</v>
      </c>
    </row>
  </sheetData>
  <autoFilter ref="A1:D10"/>
  <conditionalFormatting sqref="C2:C10">
    <cfRule type="cellIs" priority="2" operator="equal" aboveAverage="0" equalAverage="0" bottom="0" percent="0" rank="0" text="" dxfId="10">
      <formula>"Pass"</formula>
    </cfRule>
    <cfRule type="cellIs" priority="3" operator="equal" aboveAverage="0" equalAverage="0" bottom="0" percent="0" rank="0" text="" dxfId="11">
      <formula>"Fail"</formula>
    </cfRule>
    <cfRule type="cellIs" priority="4" operator="equal" aboveAverage="0" equalAverage="0" bottom="0" percent="0" rank="0" text="" dxfId="12">
      <formula>"Partial"</formula>
    </cfRule>
    <cfRule type="cellIs" priority="5" operator="equal" aboveAverage="0" equalAverage="0" bottom="0" percent="0" rank="0" text="" dxfId="13">
      <formula>"Blocked"</formula>
    </cfRule>
    <cfRule type="cellIs" priority="6" operator="equal" aboveAverage="0" equalAverage="0" bottom="0" percent="0" rank="0" text="" dxfId="14">
      <formula>"Not Executed"</formula>
    </cfRule>
    <cfRule type="cellIs" priority="7" operator="equal" aboveAverage="0" equalAverage="0" bottom="0" percent="0" rank="0" text="" dxfId="15">
      <formula>"Not Retested"</formula>
    </cfRule>
    <cfRule type="cellIs" priority="8" operator="equal" aboveAverage="0" equalAverage="0" bottom="0" percent="0" rank="0" text="" dxfId="16">
      <formula>"N/A (Phase 2)"</formula>
    </cfRule>
    <cfRule type="cellIs" priority="9" operator="equal" aboveAverage="0" equalAverage="0" bottom="0" percent="0" rank="0" text="" dxfId="16">
      <formula>"N/A (Open item)"</formula>
    </cfRule>
    <cfRule type="cellIs" priority="10" operator="equal" aboveAverage="0" equalAverage="0" bottom="0" percent="0" rank="0" text="" dxfId="16">
      <formula>"N/A"</formula>
    </cfRule>
    <cfRule type="cellIs" priority="11" operator="equal" aboveAverage="0" equalAverage="0" bottom="0" percent="0" rank="0" text="" dxfId="10">
      <formula>"Fixed"</formula>
    </cfRule>
    <cfRule type="cellIs" priority="12" operator="equal" aboveAverage="0" equalAverage="0" bottom="0" percent="0" rank="0" text="" dxfId="12">
      <formula>"Partially fixed"</formula>
    </cfRule>
    <cfRule type="cellIs" priority="13" operator="equal" aboveAverage="0" equalAverage="0" bottom="0" percent="0" rank="0" text="" dxfId="11">
      <formula>"Open"</formula>
    </cfRule>
    <cfRule type="cellIs" priority="14" operator="equal" aboveAverage="0" equalAverage="0" bottom="0" percent="0" rank="0" text="" dxfId="17">
      <formula>"New"</formula>
    </cfRule>
    <cfRule type="cellIs" priority="15" operator="equal" aboveAverage="0" equalAverage="0" bottom="0" percent="0" rank="0" text="" dxfId="15">
      <formula>"Withdrawn"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22"/>
    <col collapsed="false" customWidth="true" hidden="false" outlineLevel="0" max="4" min="4" style="0" width="32"/>
    <col collapsed="false" customWidth="true" hidden="false" outlineLevel="0" max="5" min="5" style="0" width="22"/>
    <col collapsed="false" customWidth="true" hidden="false" outlineLevel="0" max="6" min="6" style="0" width="34"/>
    <col collapsed="false" customWidth="true" hidden="false" outlineLevel="0" max="7" min="7" style="0" width="30"/>
    <col collapsed="false" customWidth="true" hidden="false" outlineLevel="0" max="8" min="8" style="0" width="50"/>
    <col collapsed="false" customWidth="true" hidden="false" outlineLevel="0" max="9" min="9" style="0" width="11"/>
    <col collapsed="false" customWidth="true" hidden="false" outlineLevel="0" max="10" min="10" style="0" width="14"/>
  </cols>
  <sheetData>
    <row r="1" customFormat="false" ht="15" hidden="false" customHeight="false" outlineLevel="0" collapsed="false">
      <c r="A1" s="18" t="s">
        <v>1098</v>
      </c>
      <c r="B1" s="18" t="s">
        <v>1099</v>
      </c>
      <c r="C1" s="18" t="s">
        <v>1100</v>
      </c>
      <c r="D1" s="18" t="s">
        <v>1101</v>
      </c>
      <c r="E1" s="18" t="s">
        <v>1102</v>
      </c>
      <c r="F1" s="18" t="s">
        <v>1103</v>
      </c>
      <c r="G1" s="18" t="s">
        <v>57</v>
      </c>
      <c r="H1" s="18" t="s">
        <v>1104</v>
      </c>
      <c r="I1" s="18" t="s">
        <v>13</v>
      </c>
      <c r="J1" s="18" t="s">
        <v>1105</v>
      </c>
    </row>
    <row r="2" customFormat="false" ht="43.25" hidden="false" customHeight="false" outlineLevel="0" collapsed="false">
      <c r="A2" s="19" t="s">
        <v>1106</v>
      </c>
      <c r="B2" s="19" t="s">
        <v>1107</v>
      </c>
      <c r="C2" s="19" t="s">
        <v>1108</v>
      </c>
      <c r="D2" s="19" t="s">
        <v>1109</v>
      </c>
      <c r="E2" s="19" t="s">
        <v>1110</v>
      </c>
      <c r="F2" s="19" t="s">
        <v>1111</v>
      </c>
      <c r="G2" s="19" t="s">
        <v>1112</v>
      </c>
      <c r="H2" s="19" t="s">
        <v>1113</v>
      </c>
      <c r="I2" s="20" t="s">
        <v>20</v>
      </c>
      <c r="J2" s="19"/>
    </row>
    <row r="3" customFormat="false" ht="22.35" hidden="false" customHeight="false" outlineLevel="0" collapsed="false">
      <c r="A3" s="19" t="s">
        <v>1114</v>
      </c>
      <c r="B3" s="19" t="s">
        <v>1107</v>
      </c>
      <c r="C3" s="19" t="s">
        <v>1108</v>
      </c>
      <c r="D3" s="19" t="s">
        <v>1115</v>
      </c>
      <c r="E3" s="19" t="s">
        <v>1116</v>
      </c>
      <c r="F3" s="19" t="s">
        <v>1117</v>
      </c>
      <c r="G3" s="19" t="s">
        <v>1118</v>
      </c>
      <c r="H3" s="19" t="s">
        <v>1119</v>
      </c>
      <c r="I3" s="20" t="s">
        <v>20</v>
      </c>
      <c r="J3" s="19"/>
    </row>
    <row r="4" customFormat="false" ht="22.35" hidden="false" customHeight="false" outlineLevel="0" collapsed="false">
      <c r="A4" s="19" t="s">
        <v>1120</v>
      </c>
      <c r="B4" s="19" t="s">
        <v>1107</v>
      </c>
      <c r="C4" s="19" t="s">
        <v>1108</v>
      </c>
      <c r="D4" s="19" t="s">
        <v>1121</v>
      </c>
      <c r="E4" s="19" t="s">
        <v>1122</v>
      </c>
      <c r="F4" s="19" t="s">
        <v>1123</v>
      </c>
      <c r="G4" s="19" t="s">
        <v>1124</v>
      </c>
      <c r="H4" s="19" t="s">
        <v>1125</v>
      </c>
      <c r="I4" s="20" t="s">
        <v>20</v>
      </c>
      <c r="J4" s="19" t="s">
        <v>1126</v>
      </c>
    </row>
    <row r="5" customFormat="false" ht="22.35" hidden="false" customHeight="false" outlineLevel="0" collapsed="false">
      <c r="A5" s="19" t="s">
        <v>1127</v>
      </c>
      <c r="B5" s="19" t="s">
        <v>1107</v>
      </c>
      <c r="C5" s="19" t="s">
        <v>1108</v>
      </c>
      <c r="D5" s="19" t="s">
        <v>1128</v>
      </c>
      <c r="E5" s="19" t="s">
        <v>1129</v>
      </c>
      <c r="F5" s="19" t="s">
        <v>1130</v>
      </c>
      <c r="G5" s="19" t="s">
        <v>1131</v>
      </c>
      <c r="H5" s="19" t="s">
        <v>1132</v>
      </c>
      <c r="I5" s="20" t="s">
        <v>20</v>
      </c>
      <c r="J5" s="19"/>
    </row>
    <row r="6" customFormat="false" ht="15" hidden="false" customHeight="false" outlineLevel="0" collapsed="false">
      <c r="A6" s="19" t="s">
        <v>1133</v>
      </c>
      <c r="B6" s="19" t="s">
        <v>1134</v>
      </c>
      <c r="C6" s="19" t="s">
        <v>1135</v>
      </c>
      <c r="D6" s="19" t="s">
        <v>1136</v>
      </c>
      <c r="E6" s="19" t="s">
        <v>263</v>
      </c>
      <c r="F6" s="19" t="s">
        <v>1137</v>
      </c>
      <c r="G6" s="19" t="s">
        <v>1138</v>
      </c>
      <c r="H6" s="19" t="s">
        <v>1139</v>
      </c>
      <c r="I6" s="20" t="s">
        <v>20</v>
      </c>
      <c r="J6" s="19"/>
    </row>
    <row r="7" customFormat="false" ht="15" hidden="false" customHeight="false" outlineLevel="0" collapsed="false">
      <c r="A7" s="19" t="s">
        <v>1140</v>
      </c>
      <c r="B7" s="19" t="s">
        <v>1134</v>
      </c>
      <c r="C7" s="19" t="s">
        <v>1135</v>
      </c>
      <c r="D7" s="19" t="s">
        <v>1141</v>
      </c>
      <c r="E7" s="19" t="s">
        <v>1142</v>
      </c>
      <c r="F7" s="19" t="s">
        <v>1143</v>
      </c>
      <c r="G7" s="19" t="s">
        <v>1144</v>
      </c>
      <c r="H7" s="19" t="s">
        <v>1145</v>
      </c>
      <c r="I7" s="20" t="s">
        <v>20</v>
      </c>
      <c r="J7" s="19" t="s">
        <v>464</v>
      </c>
    </row>
    <row r="8" customFormat="false" ht="15" hidden="false" customHeight="false" outlineLevel="0" collapsed="false">
      <c r="A8" s="19" t="s">
        <v>1146</v>
      </c>
      <c r="B8" s="19" t="s">
        <v>1134</v>
      </c>
      <c r="C8" s="19" t="s">
        <v>1135</v>
      </c>
      <c r="D8" s="19" t="s">
        <v>1147</v>
      </c>
      <c r="E8" s="19" t="s">
        <v>1142</v>
      </c>
      <c r="F8" s="19" t="s">
        <v>1148</v>
      </c>
      <c r="G8" s="19" t="s">
        <v>1149</v>
      </c>
      <c r="H8" s="19" t="s">
        <v>1150</v>
      </c>
      <c r="I8" s="20" t="s">
        <v>20</v>
      </c>
      <c r="J8" s="19"/>
    </row>
    <row r="9" customFormat="false" ht="22.35" hidden="false" customHeight="false" outlineLevel="0" collapsed="false">
      <c r="A9" s="19" t="s">
        <v>1151</v>
      </c>
      <c r="B9" s="19" t="s">
        <v>1134</v>
      </c>
      <c r="C9" s="19" t="s">
        <v>1135</v>
      </c>
      <c r="D9" s="19" t="s">
        <v>1152</v>
      </c>
      <c r="E9" s="19" t="s">
        <v>1153</v>
      </c>
      <c r="F9" s="19" t="s">
        <v>1154</v>
      </c>
      <c r="G9" s="19" t="s">
        <v>1155</v>
      </c>
      <c r="H9" s="19" t="s">
        <v>1156</v>
      </c>
      <c r="I9" s="20" t="s">
        <v>20</v>
      </c>
      <c r="J9" s="19" t="s">
        <v>420</v>
      </c>
    </row>
    <row r="10" customFormat="false" ht="22.35" hidden="false" customHeight="false" outlineLevel="0" collapsed="false">
      <c r="A10" s="19" t="s">
        <v>1157</v>
      </c>
      <c r="B10" s="19" t="s">
        <v>1134</v>
      </c>
      <c r="C10" s="19" t="s">
        <v>1135</v>
      </c>
      <c r="D10" s="19" t="s">
        <v>1158</v>
      </c>
      <c r="E10" s="19" t="s">
        <v>1159</v>
      </c>
      <c r="F10" s="19" t="s">
        <v>1160</v>
      </c>
      <c r="G10" s="19" t="s">
        <v>1161</v>
      </c>
      <c r="H10" s="19" t="s">
        <v>1162</v>
      </c>
      <c r="I10" s="20" t="s">
        <v>20</v>
      </c>
      <c r="J10" s="19"/>
    </row>
    <row r="11" customFormat="false" ht="22.35" hidden="false" customHeight="false" outlineLevel="0" collapsed="false">
      <c r="A11" s="19" t="s">
        <v>1163</v>
      </c>
      <c r="B11" s="19" t="s">
        <v>1134</v>
      </c>
      <c r="C11" s="19" t="s">
        <v>1135</v>
      </c>
      <c r="D11" s="19" t="s">
        <v>1164</v>
      </c>
      <c r="E11" s="19" t="s">
        <v>1165</v>
      </c>
      <c r="F11" s="19" t="s">
        <v>1166</v>
      </c>
      <c r="G11" s="19" t="s">
        <v>1167</v>
      </c>
      <c r="H11" s="19" t="s">
        <v>1168</v>
      </c>
      <c r="I11" s="20" t="s">
        <v>20</v>
      </c>
      <c r="J11" s="19"/>
    </row>
    <row r="12" customFormat="false" ht="15" hidden="false" customHeight="false" outlineLevel="0" collapsed="false">
      <c r="A12" s="19" t="s">
        <v>1169</v>
      </c>
      <c r="B12" s="19" t="s">
        <v>1134</v>
      </c>
      <c r="C12" s="19" t="s">
        <v>1135</v>
      </c>
      <c r="D12" s="19" t="s">
        <v>1170</v>
      </c>
      <c r="E12" s="19" t="s">
        <v>263</v>
      </c>
      <c r="F12" s="19" t="s">
        <v>1171</v>
      </c>
      <c r="G12" s="19" t="s">
        <v>1172</v>
      </c>
      <c r="H12" s="19" t="s">
        <v>1173</v>
      </c>
      <c r="I12" s="20" t="s">
        <v>22</v>
      </c>
      <c r="J12" s="19" t="s">
        <v>763</v>
      </c>
    </row>
    <row r="13" customFormat="false" ht="15" hidden="false" customHeight="false" outlineLevel="0" collapsed="false">
      <c r="A13" s="19" t="s">
        <v>1174</v>
      </c>
      <c r="B13" s="19" t="s">
        <v>1175</v>
      </c>
      <c r="C13" s="19" t="s">
        <v>1176</v>
      </c>
      <c r="D13" s="19" t="s">
        <v>1177</v>
      </c>
      <c r="E13" s="19" t="s">
        <v>263</v>
      </c>
      <c r="F13" s="19" t="s">
        <v>1178</v>
      </c>
      <c r="G13" s="19" t="s">
        <v>1179</v>
      </c>
      <c r="H13" s="19" t="s">
        <v>1180</v>
      </c>
      <c r="I13" s="20" t="s">
        <v>20</v>
      </c>
      <c r="J13" s="19" t="s">
        <v>180</v>
      </c>
    </row>
    <row r="14" customFormat="false" ht="15" hidden="false" customHeight="false" outlineLevel="0" collapsed="false">
      <c r="A14" s="19" t="s">
        <v>1181</v>
      </c>
      <c r="B14" s="19" t="s">
        <v>1175</v>
      </c>
      <c r="C14" s="19" t="s">
        <v>1176</v>
      </c>
      <c r="D14" s="19" t="s">
        <v>1182</v>
      </c>
      <c r="E14" s="19" t="s">
        <v>1183</v>
      </c>
      <c r="F14" s="19" t="s">
        <v>1184</v>
      </c>
      <c r="G14" s="19" t="s">
        <v>1185</v>
      </c>
      <c r="H14" s="19" t="s">
        <v>1186</v>
      </c>
      <c r="I14" s="20" t="s">
        <v>20</v>
      </c>
      <c r="J14" s="19"/>
    </row>
    <row r="15" customFormat="false" ht="15" hidden="false" customHeight="false" outlineLevel="0" collapsed="false">
      <c r="A15" s="19" t="s">
        <v>1187</v>
      </c>
      <c r="B15" s="19" t="s">
        <v>1175</v>
      </c>
      <c r="C15" s="19" t="s">
        <v>1176</v>
      </c>
      <c r="D15" s="19" t="s">
        <v>1188</v>
      </c>
      <c r="E15" s="19" t="s">
        <v>1153</v>
      </c>
      <c r="F15" s="19" t="s">
        <v>1189</v>
      </c>
      <c r="G15" s="19" t="s">
        <v>1190</v>
      </c>
      <c r="H15" s="19" t="s">
        <v>1191</v>
      </c>
      <c r="I15" s="20" t="s">
        <v>20</v>
      </c>
      <c r="J15" s="19"/>
    </row>
    <row r="16" customFormat="false" ht="22.35" hidden="false" customHeight="false" outlineLevel="0" collapsed="false">
      <c r="A16" s="19" t="s">
        <v>1192</v>
      </c>
      <c r="B16" s="19" t="s">
        <v>1175</v>
      </c>
      <c r="C16" s="19" t="s">
        <v>1176</v>
      </c>
      <c r="D16" s="19" t="s">
        <v>1193</v>
      </c>
      <c r="E16" s="19" t="s">
        <v>1194</v>
      </c>
      <c r="F16" s="19" t="s">
        <v>1195</v>
      </c>
      <c r="G16" s="19" t="s">
        <v>1196</v>
      </c>
      <c r="H16" s="19" t="s">
        <v>1197</v>
      </c>
      <c r="I16" s="20" t="s">
        <v>20</v>
      </c>
      <c r="J16" s="19"/>
    </row>
    <row r="17" customFormat="false" ht="15" hidden="false" customHeight="false" outlineLevel="0" collapsed="false">
      <c r="A17" s="19" t="s">
        <v>1198</v>
      </c>
      <c r="B17" s="19" t="s">
        <v>1199</v>
      </c>
      <c r="C17" s="19" t="s">
        <v>1200</v>
      </c>
      <c r="D17" s="19" t="s">
        <v>1201</v>
      </c>
      <c r="E17" s="19" t="s">
        <v>1202</v>
      </c>
      <c r="F17" s="19" t="s">
        <v>1203</v>
      </c>
      <c r="G17" s="19" t="s">
        <v>23</v>
      </c>
      <c r="H17" s="19" t="s">
        <v>1204</v>
      </c>
      <c r="I17" s="20" t="s">
        <v>22</v>
      </c>
      <c r="J17" s="19" t="s">
        <v>802</v>
      </c>
    </row>
    <row r="18" customFormat="false" ht="15" hidden="false" customHeight="false" outlineLevel="0" collapsed="false">
      <c r="A18" s="19" t="s">
        <v>1205</v>
      </c>
      <c r="B18" s="19" t="s">
        <v>1199</v>
      </c>
      <c r="C18" s="19" t="s">
        <v>1200</v>
      </c>
      <c r="D18" s="19" t="s">
        <v>1206</v>
      </c>
      <c r="E18" s="19" t="s">
        <v>1207</v>
      </c>
      <c r="F18" s="19" t="s">
        <v>1208</v>
      </c>
      <c r="G18" s="19" t="s">
        <v>1209</v>
      </c>
      <c r="H18" s="19" t="s">
        <v>1210</v>
      </c>
      <c r="I18" s="20" t="s">
        <v>20</v>
      </c>
      <c r="J18" s="19"/>
    </row>
    <row r="19" customFormat="false" ht="15" hidden="false" customHeight="false" outlineLevel="0" collapsed="false">
      <c r="A19" s="19" t="s">
        <v>1211</v>
      </c>
      <c r="B19" s="19" t="s">
        <v>1199</v>
      </c>
      <c r="C19" s="19" t="s">
        <v>1200</v>
      </c>
      <c r="D19" s="19" t="s">
        <v>1212</v>
      </c>
      <c r="E19" s="19" t="s">
        <v>1213</v>
      </c>
      <c r="F19" s="19" t="s">
        <v>1214</v>
      </c>
      <c r="G19" s="19" t="s">
        <v>1215</v>
      </c>
      <c r="H19" s="19" t="s">
        <v>1216</v>
      </c>
      <c r="I19" s="20" t="s">
        <v>20</v>
      </c>
      <c r="J19" s="19"/>
    </row>
    <row r="20" customFormat="false" ht="22.35" hidden="false" customHeight="false" outlineLevel="0" collapsed="false">
      <c r="A20" s="19" t="s">
        <v>1217</v>
      </c>
      <c r="B20" s="19" t="s">
        <v>1199</v>
      </c>
      <c r="C20" s="19" t="s">
        <v>1200</v>
      </c>
      <c r="D20" s="19" t="s">
        <v>1218</v>
      </c>
      <c r="E20" s="19" t="s">
        <v>1219</v>
      </c>
      <c r="F20" s="19" t="s">
        <v>1220</v>
      </c>
      <c r="G20" s="19" t="s">
        <v>1221</v>
      </c>
      <c r="H20" s="19" t="s">
        <v>1222</v>
      </c>
      <c r="I20" s="20" t="s">
        <v>20</v>
      </c>
      <c r="J20" s="19"/>
    </row>
    <row r="21" customFormat="false" ht="15" hidden="false" customHeight="false" outlineLevel="0" collapsed="false">
      <c r="A21" s="19" t="s">
        <v>1223</v>
      </c>
      <c r="B21" s="19" t="s">
        <v>1199</v>
      </c>
      <c r="C21" s="19" t="s">
        <v>1200</v>
      </c>
      <c r="D21" s="19" t="s">
        <v>1224</v>
      </c>
      <c r="E21" s="19" t="s">
        <v>1225</v>
      </c>
      <c r="F21" s="19" t="s">
        <v>1226</v>
      </c>
      <c r="G21" s="19" t="s">
        <v>1227</v>
      </c>
      <c r="H21" s="19" t="s">
        <v>1228</v>
      </c>
      <c r="I21" s="20" t="s">
        <v>20</v>
      </c>
      <c r="J21" s="19"/>
    </row>
    <row r="22" customFormat="false" ht="22.35" hidden="false" customHeight="false" outlineLevel="0" collapsed="false">
      <c r="A22" s="19" t="s">
        <v>1229</v>
      </c>
      <c r="B22" s="19" t="s">
        <v>1230</v>
      </c>
      <c r="C22" s="19" t="s">
        <v>1231</v>
      </c>
      <c r="D22" s="19" t="s">
        <v>1232</v>
      </c>
      <c r="E22" s="19" t="s">
        <v>1233</v>
      </c>
      <c r="F22" s="19" t="s">
        <v>1234</v>
      </c>
      <c r="G22" s="19" t="s">
        <v>1235</v>
      </c>
      <c r="H22" s="19" t="s">
        <v>1236</v>
      </c>
      <c r="I22" s="20" t="s">
        <v>20</v>
      </c>
      <c r="J22" s="19" t="s">
        <v>527</v>
      </c>
    </row>
    <row r="23" customFormat="false" ht="22.35" hidden="false" customHeight="false" outlineLevel="0" collapsed="false">
      <c r="A23" s="19" t="s">
        <v>1237</v>
      </c>
      <c r="B23" s="19" t="s">
        <v>1230</v>
      </c>
      <c r="C23" s="19" t="s">
        <v>1231</v>
      </c>
      <c r="D23" s="19" t="s">
        <v>1238</v>
      </c>
      <c r="E23" s="19" t="s">
        <v>1239</v>
      </c>
      <c r="F23" s="19" t="s">
        <v>1240</v>
      </c>
      <c r="G23" s="19" t="s">
        <v>1241</v>
      </c>
      <c r="H23" s="19" t="s">
        <v>1242</v>
      </c>
      <c r="I23" s="20" t="s">
        <v>20</v>
      </c>
      <c r="J23" s="19"/>
    </row>
    <row r="24" customFormat="false" ht="22.35" hidden="false" customHeight="false" outlineLevel="0" collapsed="false">
      <c r="A24" s="19" t="s">
        <v>1243</v>
      </c>
      <c r="B24" s="19" t="s">
        <v>1230</v>
      </c>
      <c r="C24" s="19" t="s">
        <v>1231</v>
      </c>
      <c r="D24" s="19" t="s">
        <v>1244</v>
      </c>
      <c r="E24" s="19" t="s">
        <v>1245</v>
      </c>
      <c r="F24" s="19" t="s">
        <v>1246</v>
      </c>
      <c r="G24" s="19" t="s">
        <v>1247</v>
      </c>
      <c r="H24" s="19" t="s">
        <v>1248</v>
      </c>
      <c r="I24" s="20" t="s">
        <v>20</v>
      </c>
      <c r="J24" s="19" t="s">
        <v>557</v>
      </c>
    </row>
    <row r="25" customFormat="false" ht="15" hidden="false" customHeight="false" outlineLevel="0" collapsed="false">
      <c r="A25" s="19" t="s">
        <v>1249</v>
      </c>
      <c r="B25" s="19" t="s">
        <v>1250</v>
      </c>
      <c r="C25" s="19" t="s">
        <v>1251</v>
      </c>
      <c r="D25" s="19" t="s">
        <v>1252</v>
      </c>
      <c r="E25" s="19" t="s">
        <v>263</v>
      </c>
      <c r="F25" s="19" t="s">
        <v>1253</v>
      </c>
      <c r="G25" s="19" t="s">
        <v>1144</v>
      </c>
      <c r="H25" s="19" t="s">
        <v>1254</v>
      </c>
      <c r="I25" s="20" t="s">
        <v>20</v>
      </c>
      <c r="J25" s="19" t="s">
        <v>230</v>
      </c>
    </row>
    <row r="26" customFormat="false" ht="15" hidden="false" customHeight="false" outlineLevel="0" collapsed="false">
      <c r="A26" s="19" t="s">
        <v>1255</v>
      </c>
      <c r="B26" s="19" t="s">
        <v>1250</v>
      </c>
      <c r="C26" s="19" t="s">
        <v>1251</v>
      </c>
      <c r="D26" s="19" t="s">
        <v>1256</v>
      </c>
      <c r="E26" s="19" t="s">
        <v>1245</v>
      </c>
      <c r="F26" s="19" t="s">
        <v>1257</v>
      </c>
      <c r="G26" s="19" t="s">
        <v>1258</v>
      </c>
      <c r="H26" s="19" t="s">
        <v>1259</v>
      </c>
      <c r="I26" s="20" t="s">
        <v>20</v>
      </c>
      <c r="J26" s="19" t="s">
        <v>520</v>
      </c>
    </row>
    <row r="27" customFormat="false" ht="15" hidden="false" customHeight="false" outlineLevel="0" collapsed="false">
      <c r="A27" s="19" t="s">
        <v>1260</v>
      </c>
      <c r="B27" s="19" t="s">
        <v>1250</v>
      </c>
      <c r="C27" s="19" t="s">
        <v>1251</v>
      </c>
      <c r="D27" s="19" t="s">
        <v>1261</v>
      </c>
      <c r="E27" s="19" t="s">
        <v>1245</v>
      </c>
      <c r="F27" s="19" t="s">
        <v>1262</v>
      </c>
      <c r="G27" s="19" t="s">
        <v>1263</v>
      </c>
      <c r="H27" s="19" t="s">
        <v>1264</v>
      </c>
      <c r="I27" s="20" t="s">
        <v>20</v>
      </c>
      <c r="J27" s="19"/>
    </row>
    <row r="28" customFormat="false" ht="15" hidden="false" customHeight="false" outlineLevel="0" collapsed="false">
      <c r="A28" s="19" t="s">
        <v>1265</v>
      </c>
      <c r="B28" s="19" t="s">
        <v>1250</v>
      </c>
      <c r="C28" s="19" t="s">
        <v>1251</v>
      </c>
      <c r="D28" s="19" t="s">
        <v>1266</v>
      </c>
      <c r="E28" s="19" t="s">
        <v>1267</v>
      </c>
      <c r="F28" s="19" t="s">
        <v>1268</v>
      </c>
      <c r="G28" s="19" t="s">
        <v>1269</v>
      </c>
      <c r="H28" s="19" t="s">
        <v>1270</v>
      </c>
      <c r="I28" s="20" t="s">
        <v>20</v>
      </c>
      <c r="J28" s="19" t="s">
        <v>153</v>
      </c>
    </row>
    <row r="29" customFormat="false" ht="15" hidden="false" customHeight="false" outlineLevel="0" collapsed="false">
      <c r="A29" s="19" t="s">
        <v>1271</v>
      </c>
      <c r="B29" s="19" t="s">
        <v>1272</v>
      </c>
      <c r="C29" s="19" t="s">
        <v>1273</v>
      </c>
      <c r="D29" s="19" t="s">
        <v>1274</v>
      </c>
      <c r="E29" s="19" t="s">
        <v>1207</v>
      </c>
      <c r="F29" s="19" t="s">
        <v>1275</v>
      </c>
      <c r="G29" s="19" t="s">
        <v>1276</v>
      </c>
      <c r="H29" s="19" t="s">
        <v>1277</v>
      </c>
      <c r="I29" s="20" t="s">
        <v>20</v>
      </c>
      <c r="J29" s="19"/>
    </row>
    <row r="30" customFormat="false" ht="22.35" hidden="false" customHeight="false" outlineLevel="0" collapsed="false">
      <c r="A30" s="19" t="s">
        <v>1278</v>
      </c>
      <c r="B30" s="19" t="s">
        <v>1272</v>
      </c>
      <c r="C30" s="19" t="s">
        <v>1273</v>
      </c>
      <c r="D30" s="19" t="s">
        <v>1279</v>
      </c>
      <c r="E30" s="19" t="s">
        <v>263</v>
      </c>
      <c r="F30" s="19" t="s">
        <v>1280</v>
      </c>
      <c r="G30" s="19" t="s">
        <v>1281</v>
      </c>
      <c r="H30" s="19" t="s">
        <v>1282</v>
      </c>
      <c r="I30" s="20" t="s">
        <v>22</v>
      </c>
      <c r="J30" s="19" t="s">
        <v>566</v>
      </c>
    </row>
    <row r="31" customFormat="false" ht="15" hidden="false" customHeight="false" outlineLevel="0" collapsed="false">
      <c r="A31" s="19" t="s">
        <v>1283</v>
      </c>
      <c r="B31" s="19" t="s">
        <v>1250</v>
      </c>
      <c r="C31" s="19" t="s">
        <v>1251</v>
      </c>
      <c r="D31" s="19" t="s">
        <v>1284</v>
      </c>
      <c r="E31" s="19" t="s">
        <v>1207</v>
      </c>
      <c r="F31" s="19" t="s">
        <v>1285</v>
      </c>
      <c r="G31" s="19" t="s">
        <v>1286</v>
      </c>
      <c r="H31" s="19" t="s">
        <v>1287</v>
      </c>
      <c r="I31" s="20" t="s">
        <v>20</v>
      </c>
      <c r="J31" s="19"/>
    </row>
    <row r="32" customFormat="false" ht="15" hidden="false" customHeight="false" outlineLevel="0" collapsed="false">
      <c r="A32" s="19" t="s">
        <v>1288</v>
      </c>
      <c r="B32" s="19" t="s">
        <v>1250</v>
      </c>
      <c r="C32" s="19" t="s">
        <v>1251</v>
      </c>
      <c r="D32" s="19" t="s">
        <v>1289</v>
      </c>
      <c r="E32" s="19" t="s">
        <v>1290</v>
      </c>
      <c r="F32" s="19" t="s">
        <v>1291</v>
      </c>
      <c r="G32" s="19" t="s">
        <v>1144</v>
      </c>
      <c r="H32" s="19" t="s">
        <v>1292</v>
      </c>
      <c r="I32" s="20" t="s">
        <v>20</v>
      </c>
      <c r="J32" s="19"/>
    </row>
  </sheetData>
  <autoFilter ref="A1:J32"/>
  <conditionalFormatting sqref="I2:I32">
    <cfRule type="cellIs" priority="2" operator="equal" aboveAverage="0" equalAverage="0" bottom="0" percent="0" rank="0" text="" dxfId="10">
      <formula>"Pass"</formula>
    </cfRule>
    <cfRule type="cellIs" priority="3" operator="equal" aboveAverage="0" equalAverage="0" bottom="0" percent="0" rank="0" text="" dxfId="11">
      <formula>"Fail"</formula>
    </cfRule>
    <cfRule type="cellIs" priority="4" operator="equal" aboveAverage="0" equalAverage="0" bottom="0" percent="0" rank="0" text="" dxfId="12">
      <formula>"Partial"</formula>
    </cfRule>
    <cfRule type="cellIs" priority="5" operator="equal" aboveAverage="0" equalAverage="0" bottom="0" percent="0" rank="0" text="" dxfId="13">
      <formula>"Blocked"</formula>
    </cfRule>
    <cfRule type="cellIs" priority="6" operator="equal" aboveAverage="0" equalAverage="0" bottom="0" percent="0" rank="0" text="" dxfId="14">
      <formula>"Not Executed"</formula>
    </cfRule>
    <cfRule type="cellIs" priority="7" operator="equal" aboveAverage="0" equalAverage="0" bottom="0" percent="0" rank="0" text="" dxfId="15">
      <formula>"Not Retested"</formula>
    </cfRule>
    <cfRule type="cellIs" priority="8" operator="equal" aboveAverage="0" equalAverage="0" bottom="0" percent="0" rank="0" text="" dxfId="16">
      <formula>"N/A (Phase 2)"</formula>
    </cfRule>
    <cfRule type="cellIs" priority="9" operator="equal" aboveAverage="0" equalAverage="0" bottom="0" percent="0" rank="0" text="" dxfId="16">
      <formula>"N/A (Open item)"</formula>
    </cfRule>
    <cfRule type="cellIs" priority="10" operator="equal" aboveAverage="0" equalAverage="0" bottom="0" percent="0" rank="0" text="" dxfId="16">
      <formula>"N/A"</formula>
    </cfRule>
    <cfRule type="cellIs" priority="11" operator="equal" aboveAverage="0" equalAverage="0" bottom="0" percent="0" rank="0" text="" dxfId="10">
      <formula>"Fixed"</formula>
    </cfRule>
    <cfRule type="cellIs" priority="12" operator="equal" aboveAverage="0" equalAverage="0" bottom="0" percent="0" rank="0" text="" dxfId="12">
      <formula>"Partially fixed"</formula>
    </cfRule>
    <cfRule type="cellIs" priority="13" operator="equal" aboveAverage="0" equalAverage="0" bottom="0" percent="0" rank="0" text="" dxfId="11">
      <formula>"Open"</formula>
    </cfRule>
    <cfRule type="cellIs" priority="14" operator="equal" aboveAverage="0" equalAverage="0" bottom="0" percent="0" rank="0" text="" dxfId="17">
      <formula>"New"</formula>
    </cfRule>
    <cfRule type="cellIs" priority="15" operator="equal" aboveAverage="0" equalAverage="0" bottom="0" percent="0" rank="0" text="" dxfId="15">
      <formula>"Withdrawn"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0"/>
    <col collapsed="false" customWidth="true" hidden="false" outlineLevel="0" max="4" min="4" style="0" width="10"/>
    <col collapsed="false" customWidth="true" hidden="false" outlineLevel="0" max="5" min="5" style="0" width="72"/>
    <col collapsed="false" customWidth="true" hidden="false" outlineLevel="0" max="6" min="6" style="0" width="14"/>
    <col collapsed="false" customWidth="true" hidden="false" outlineLevel="0" max="7" min="7" style="0" width="15"/>
    <col collapsed="false" customWidth="true" hidden="false" outlineLevel="0" max="8" min="8" style="0" width="46"/>
  </cols>
  <sheetData>
    <row r="1" customFormat="false" ht="23.85" hidden="false" customHeight="false" outlineLevel="0" collapsed="false">
      <c r="A1" s="18" t="s">
        <v>1293</v>
      </c>
      <c r="B1" s="18" t="s">
        <v>1294</v>
      </c>
      <c r="C1" s="18" t="s">
        <v>1295</v>
      </c>
      <c r="D1" s="18" t="s">
        <v>1296</v>
      </c>
      <c r="E1" s="18" t="s">
        <v>1297</v>
      </c>
      <c r="F1" s="18" t="s">
        <v>1298</v>
      </c>
      <c r="G1" s="18" t="s">
        <v>1299</v>
      </c>
      <c r="H1" s="18" t="s">
        <v>1300</v>
      </c>
    </row>
    <row r="2" customFormat="false" ht="32.8" hidden="false" customHeight="false" outlineLevel="0" collapsed="false">
      <c r="A2" s="19" t="s">
        <v>1301</v>
      </c>
      <c r="B2" s="19" t="s">
        <v>86</v>
      </c>
      <c r="C2" s="19" t="s">
        <v>644</v>
      </c>
      <c r="D2" s="19" t="s">
        <v>65</v>
      </c>
      <c r="E2" s="19" t="s">
        <v>1302</v>
      </c>
      <c r="F2" s="19" t="s">
        <v>40</v>
      </c>
      <c r="G2" s="20" t="s">
        <v>38</v>
      </c>
      <c r="H2" s="19" t="s">
        <v>1303</v>
      </c>
    </row>
    <row r="3" customFormat="false" ht="22.35" hidden="false" customHeight="false" outlineLevel="0" collapsed="false">
      <c r="A3" s="19" t="s">
        <v>1304</v>
      </c>
      <c r="B3" s="19" t="s">
        <v>1305</v>
      </c>
      <c r="C3" s="19" t="s">
        <v>1306</v>
      </c>
      <c r="D3" s="19" t="s">
        <v>73</v>
      </c>
      <c r="E3" s="19" t="s">
        <v>1307</v>
      </c>
      <c r="F3" s="19" t="s">
        <v>40</v>
      </c>
      <c r="G3" s="20" t="s">
        <v>38</v>
      </c>
      <c r="H3" s="19" t="s">
        <v>1303</v>
      </c>
    </row>
    <row r="4" customFormat="false" ht="22.35" hidden="false" customHeight="false" outlineLevel="0" collapsed="false">
      <c r="A4" s="19" t="s">
        <v>1308</v>
      </c>
      <c r="B4" s="19" t="s">
        <v>122</v>
      </c>
      <c r="C4" s="19" t="s">
        <v>1309</v>
      </c>
      <c r="D4" s="19" t="s">
        <v>73</v>
      </c>
      <c r="E4" s="19" t="s">
        <v>1310</v>
      </c>
      <c r="F4" s="19" t="s">
        <v>40</v>
      </c>
      <c r="G4" s="20" t="s">
        <v>38</v>
      </c>
      <c r="H4" s="19" t="s">
        <v>1303</v>
      </c>
    </row>
    <row r="5" customFormat="false" ht="22.35" hidden="false" customHeight="false" outlineLevel="0" collapsed="false">
      <c r="A5" s="19" t="s">
        <v>1311</v>
      </c>
      <c r="B5" s="19" t="s">
        <v>131</v>
      </c>
      <c r="C5" s="19" t="s">
        <v>1312</v>
      </c>
      <c r="D5" s="19" t="s">
        <v>246</v>
      </c>
      <c r="E5" s="19" t="s">
        <v>1313</v>
      </c>
      <c r="F5" s="19" t="s">
        <v>40</v>
      </c>
      <c r="G5" s="20" t="s">
        <v>38</v>
      </c>
      <c r="H5" s="19" t="s">
        <v>1303</v>
      </c>
    </row>
    <row r="6" customFormat="false" ht="22.35" hidden="false" customHeight="false" outlineLevel="0" collapsed="false">
      <c r="A6" s="19" t="s">
        <v>1314</v>
      </c>
      <c r="B6" s="19" t="s">
        <v>205</v>
      </c>
      <c r="C6" s="19" t="s">
        <v>1315</v>
      </c>
      <c r="D6" s="19" t="s">
        <v>65</v>
      </c>
      <c r="E6" s="19" t="s">
        <v>1316</v>
      </c>
      <c r="F6" s="19" t="s">
        <v>40</v>
      </c>
      <c r="G6" s="20" t="s">
        <v>38</v>
      </c>
      <c r="H6" s="19" t="s">
        <v>1303</v>
      </c>
    </row>
    <row r="7" customFormat="false" ht="22.35" hidden="false" customHeight="false" outlineLevel="0" collapsed="false">
      <c r="A7" s="19" t="s">
        <v>1317</v>
      </c>
      <c r="B7" s="19" t="s">
        <v>205</v>
      </c>
      <c r="C7" s="19" t="s">
        <v>1318</v>
      </c>
      <c r="D7" s="19" t="s">
        <v>65</v>
      </c>
      <c r="E7" s="19" t="s">
        <v>1319</v>
      </c>
      <c r="F7" s="19" t="s">
        <v>40</v>
      </c>
      <c r="G7" s="20" t="s">
        <v>38</v>
      </c>
      <c r="H7" s="19" t="s">
        <v>1303</v>
      </c>
    </row>
    <row r="8" customFormat="false" ht="43.25" hidden="false" customHeight="false" outlineLevel="0" collapsed="false">
      <c r="A8" s="19" t="s">
        <v>1320</v>
      </c>
      <c r="B8" s="19" t="s">
        <v>213</v>
      </c>
      <c r="C8" s="19" t="s">
        <v>214</v>
      </c>
      <c r="D8" s="19" t="s">
        <v>65</v>
      </c>
      <c r="E8" s="19" t="s">
        <v>1321</v>
      </c>
      <c r="F8" s="19" t="s">
        <v>40</v>
      </c>
      <c r="G8" s="20" t="s">
        <v>38</v>
      </c>
      <c r="H8" s="19" t="s">
        <v>1322</v>
      </c>
    </row>
    <row r="9" customFormat="false" ht="15" hidden="false" customHeight="false" outlineLevel="0" collapsed="false">
      <c r="A9" s="19" t="s">
        <v>1323</v>
      </c>
      <c r="B9" s="19" t="s">
        <v>1324</v>
      </c>
      <c r="C9" s="19" t="s">
        <v>223</v>
      </c>
      <c r="D9" s="19" t="s">
        <v>73</v>
      </c>
      <c r="E9" s="19" t="s">
        <v>1325</v>
      </c>
      <c r="F9" s="19" t="s">
        <v>40</v>
      </c>
      <c r="G9" s="20" t="s">
        <v>38</v>
      </c>
      <c r="H9" s="19" t="s">
        <v>1303</v>
      </c>
    </row>
    <row r="10" customFormat="false" ht="22.35" hidden="false" customHeight="false" outlineLevel="0" collapsed="false">
      <c r="A10" s="19" t="s">
        <v>1326</v>
      </c>
      <c r="B10" s="19" t="s">
        <v>282</v>
      </c>
      <c r="C10" s="19" t="s">
        <v>1327</v>
      </c>
      <c r="D10" s="19" t="s">
        <v>65</v>
      </c>
      <c r="E10" s="19" t="s">
        <v>1328</v>
      </c>
      <c r="F10" s="19" t="s">
        <v>1329</v>
      </c>
      <c r="G10" s="20" t="s">
        <v>38</v>
      </c>
      <c r="H10" s="19" t="s">
        <v>1330</v>
      </c>
    </row>
    <row r="11" customFormat="false" ht="15" hidden="false" customHeight="false" outlineLevel="0" collapsed="false">
      <c r="A11" s="19" t="s">
        <v>1331</v>
      </c>
      <c r="B11" s="19" t="s">
        <v>358</v>
      </c>
      <c r="C11" s="19" t="s">
        <v>1332</v>
      </c>
      <c r="D11" s="19" t="s">
        <v>246</v>
      </c>
      <c r="E11" s="19" t="s">
        <v>1333</v>
      </c>
      <c r="F11" s="19" t="s">
        <v>40</v>
      </c>
      <c r="G11" s="20" t="s">
        <v>38</v>
      </c>
      <c r="H11" s="19" t="s">
        <v>1303</v>
      </c>
    </row>
    <row r="12" customFormat="false" ht="32.8" hidden="false" customHeight="false" outlineLevel="0" collapsed="false">
      <c r="A12" s="19" t="s">
        <v>1334</v>
      </c>
      <c r="B12" s="19" t="s">
        <v>1335</v>
      </c>
      <c r="C12" s="19" t="s">
        <v>1336</v>
      </c>
      <c r="D12" s="19" t="s">
        <v>65</v>
      </c>
      <c r="E12" s="19" t="s">
        <v>1337</v>
      </c>
      <c r="F12" s="19" t="s">
        <v>1329</v>
      </c>
      <c r="G12" s="20" t="s">
        <v>38</v>
      </c>
      <c r="H12" s="19" t="s">
        <v>1338</v>
      </c>
    </row>
    <row r="13" customFormat="false" ht="22.35" hidden="false" customHeight="false" outlineLevel="0" collapsed="false">
      <c r="A13" s="19" t="s">
        <v>1339</v>
      </c>
      <c r="B13" s="19" t="s">
        <v>389</v>
      </c>
      <c r="C13" s="19" t="s">
        <v>886</v>
      </c>
      <c r="D13" s="19" t="s">
        <v>65</v>
      </c>
      <c r="E13" s="19" t="s">
        <v>1340</v>
      </c>
      <c r="F13" s="19" t="s">
        <v>40</v>
      </c>
      <c r="G13" s="20" t="s">
        <v>38</v>
      </c>
      <c r="H13" s="19" t="s">
        <v>1303</v>
      </c>
    </row>
    <row r="14" customFormat="false" ht="22.35" hidden="false" customHeight="false" outlineLevel="0" collapsed="false">
      <c r="A14" s="19" t="s">
        <v>1341</v>
      </c>
      <c r="B14" s="19" t="s">
        <v>1342</v>
      </c>
      <c r="C14" s="19" t="s">
        <v>413</v>
      </c>
      <c r="D14" s="19" t="s">
        <v>65</v>
      </c>
      <c r="E14" s="19" t="s">
        <v>1343</v>
      </c>
      <c r="F14" s="19" t="s">
        <v>40</v>
      </c>
      <c r="G14" s="20" t="s">
        <v>38</v>
      </c>
      <c r="H14" s="19" t="s">
        <v>1303</v>
      </c>
    </row>
    <row r="15" customFormat="false" ht="15" hidden="false" customHeight="false" outlineLevel="0" collapsed="false">
      <c r="A15" s="19" t="s">
        <v>1344</v>
      </c>
      <c r="B15" s="19" t="s">
        <v>428</v>
      </c>
      <c r="C15" s="19" t="s">
        <v>1345</v>
      </c>
      <c r="D15" s="19" t="s">
        <v>65</v>
      </c>
      <c r="E15" s="19" t="s">
        <v>1346</v>
      </c>
      <c r="F15" s="19" t="s">
        <v>40</v>
      </c>
      <c r="G15" s="20" t="s">
        <v>38</v>
      </c>
      <c r="H15" s="19" t="s">
        <v>1303</v>
      </c>
    </row>
    <row r="16" customFormat="false" ht="32.8" hidden="false" customHeight="false" outlineLevel="0" collapsed="false">
      <c r="A16" s="19" t="s">
        <v>1347</v>
      </c>
      <c r="B16" s="19" t="s">
        <v>1348</v>
      </c>
      <c r="C16" s="19" t="s">
        <v>1349</v>
      </c>
      <c r="D16" s="19" t="s">
        <v>1350</v>
      </c>
      <c r="E16" s="19" t="s">
        <v>1351</v>
      </c>
      <c r="F16" s="19" t="s">
        <v>40</v>
      </c>
      <c r="G16" s="20" t="s">
        <v>38</v>
      </c>
      <c r="H16" s="19" t="s">
        <v>1303</v>
      </c>
    </row>
    <row r="17" customFormat="false" ht="22.35" hidden="false" customHeight="false" outlineLevel="0" collapsed="false">
      <c r="A17" s="19" t="s">
        <v>1352</v>
      </c>
      <c r="B17" s="19" t="s">
        <v>1353</v>
      </c>
      <c r="C17" s="19" t="s">
        <v>1354</v>
      </c>
      <c r="D17" s="19" t="s">
        <v>73</v>
      </c>
      <c r="E17" s="19" t="s">
        <v>1355</v>
      </c>
      <c r="F17" s="19" t="s">
        <v>40</v>
      </c>
      <c r="G17" s="20" t="s">
        <v>38</v>
      </c>
      <c r="H17" s="19" t="s">
        <v>1303</v>
      </c>
    </row>
    <row r="18" customFormat="false" ht="32.8" hidden="false" customHeight="false" outlineLevel="0" collapsed="false">
      <c r="A18" s="19" t="s">
        <v>1356</v>
      </c>
      <c r="B18" s="19" t="s">
        <v>457</v>
      </c>
      <c r="C18" s="19" t="s">
        <v>1357</v>
      </c>
      <c r="D18" s="19" t="s">
        <v>65</v>
      </c>
      <c r="E18" s="19" t="s">
        <v>1358</v>
      </c>
      <c r="F18" s="19" t="s">
        <v>40</v>
      </c>
      <c r="G18" s="20" t="s">
        <v>38</v>
      </c>
      <c r="H18" s="19" t="s">
        <v>1303</v>
      </c>
    </row>
    <row r="19" customFormat="false" ht="32.8" hidden="false" customHeight="false" outlineLevel="0" collapsed="false">
      <c r="A19" s="19" t="s">
        <v>1359</v>
      </c>
      <c r="B19" s="19" t="s">
        <v>551</v>
      </c>
      <c r="C19" s="19" t="s">
        <v>1360</v>
      </c>
      <c r="D19" s="19" t="s">
        <v>73</v>
      </c>
      <c r="E19" s="19" t="s">
        <v>1361</v>
      </c>
      <c r="F19" s="19" t="s">
        <v>1362</v>
      </c>
      <c r="G19" s="20" t="s">
        <v>38</v>
      </c>
      <c r="H19" s="19" t="s">
        <v>1303</v>
      </c>
    </row>
    <row r="20" customFormat="false" ht="32.8" hidden="false" customHeight="false" outlineLevel="0" collapsed="false">
      <c r="A20" s="19" t="s">
        <v>1363</v>
      </c>
      <c r="B20" s="19" t="s">
        <v>513</v>
      </c>
      <c r="C20" s="19" t="s">
        <v>1364</v>
      </c>
      <c r="D20" s="19" t="s">
        <v>246</v>
      </c>
      <c r="E20" s="19" t="s">
        <v>1365</v>
      </c>
      <c r="F20" s="19" t="s">
        <v>40</v>
      </c>
      <c r="G20" s="20" t="s">
        <v>38</v>
      </c>
      <c r="H20" s="19" t="s">
        <v>1303</v>
      </c>
    </row>
    <row r="21" customFormat="false" ht="43.25" hidden="false" customHeight="false" outlineLevel="0" collapsed="false">
      <c r="A21" s="19" t="s">
        <v>1366</v>
      </c>
      <c r="B21" s="19" t="s">
        <v>343</v>
      </c>
      <c r="C21" s="19" t="s">
        <v>336</v>
      </c>
      <c r="D21" s="19" t="s">
        <v>246</v>
      </c>
      <c r="E21" s="19" t="s">
        <v>1367</v>
      </c>
      <c r="F21" s="19" t="s">
        <v>40</v>
      </c>
      <c r="G21" s="20" t="s">
        <v>38</v>
      </c>
      <c r="H21" s="19" t="s">
        <v>1368</v>
      </c>
    </row>
    <row r="22" customFormat="false" ht="43.25" hidden="false" customHeight="false" outlineLevel="0" collapsed="false">
      <c r="A22" s="19" t="s">
        <v>1369</v>
      </c>
      <c r="B22" s="19" t="s">
        <v>367</v>
      </c>
      <c r="C22" s="19" t="s">
        <v>1336</v>
      </c>
      <c r="D22" s="19" t="s">
        <v>73</v>
      </c>
      <c r="E22" s="19" t="s">
        <v>1370</v>
      </c>
      <c r="F22" s="19" t="s">
        <v>263</v>
      </c>
      <c r="G22" s="20" t="s">
        <v>42</v>
      </c>
      <c r="H22" s="19" t="s">
        <v>1371</v>
      </c>
    </row>
    <row r="23" customFormat="false" ht="32.8" hidden="false" customHeight="false" outlineLevel="0" collapsed="false">
      <c r="A23" s="19" t="s">
        <v>388</v>
      </c>
      <c r="B23" s="19" t="s">
        <v>382</v>
      </c>
      <c r="C23" s="19" t="s">
        <v>1336</v>
      </c>
      <c r="D23" s="19" t="s">
        <v>73</v>
      </c>
      <c r="E23" s="19" t="s">
        <v>1372</v>
      </c>
      <c r="F23" s="19" t="s">
        <v>263</v>
      </c>
      <c r="G23" s="20" t="s">
        <v>41</v>
      </c>
      <c r="H23" s="19" t="s">
        <v>1373</v>
      </c>
    </row>
    <row r="24" customFormat="false" ht="22.35" hidden="false" customHeight="false" outlineLevel="0" collapsed="false">
      <c r="A24" s="19" t="s">
        <v>653</v>
      </c>
      <c r="B24" s="19" t="s">
        <v>1374</v>
      </c>
      <c r="C24" s="19" t="s">
        <v>644</v>
      </c>
      <c r="D24" s="19" t="s">
        <v>73</v>
      </c>
      <c r="E24" s="19" t="s">
        <v>1375</v>
      </c>
      <c r="F24" s="19" t="s">
        <v>263</v>
      </c>
      <c r="G24" s="20" t="s">
        <v>41</v>
      </c>
      <c r="H24" s="19" t="s">
        <v>1373</v>
      </c>
    </row>
    <row r="25" customFormat="false" ht="22.35" hidden="false" customHeight="false" outlineLevel="0" collapsed="false">
      <c r="A25" s="19" t="s">
        <v>669</v>
      </c>
      <c r="B25" s="19" t="s">
        <v>666</v>
      </c>
      <c r="C25" s="19" t="s">
        <v>660</v>
      </c>
      <c r="D25" s="19" t="s">
        <v>73</v>
      </c>
      <c r="E25" s="19" t="s">
        <v>1376</v>
      </c>
      <c r="F25" s="19" t="s">
        <v>263</v>
      </c>
      <c r="G25" s="20" t="s">
        <v>41</v>
      </c>
      <c r="H25" s="19" t="s">
        <v>1373</v>
      </c>
    </row>
    <row r="26" customFormat="false" ht="15" hidden="false" customHeight="false" outlineLevel="0" collapsed="false">
      <c r="A26" s="19" t="s">
        <v>740</v>
      </c>
      <c r="B26" s="19" t="s">
        <v>737</v>
      </c>
      <c r="C26" s="19" t="s">
        <v>480</v>
      </c>
      <c r="D26" s="19" t="s">
        <v>246</v>
      </c>
      <c r="E26" s="19" t="s">
        <v>1377</v>
      </c>
      <c r="F26" s="19" t="s">
        <v>263</v>
      </c>
      <c r="G26" s="20" t="s">
        <v>41</v>
      </c>
      <c r="H26" s="19" t="s">
        <v>1373</v>
      </c>
    </row>
    <row r="27" customFormat="false" ht="15" hidden="false" customHeight="false" outlineLevel="0" collapsed="false">
      <c r="A27" s="19" t="s">
        <v>763</v>
      </c>
      <c r="B27" s="19" t="s">
        <v>760</v>
      </c>
      <c r="C27" s="19" t="s">
        <v>757</v>
      </c>
      <c r="D27" s="19" t="s">
        <v>246</v>
      </c>
      <c r="E27" s="19" t="s">
        <v>1378</v>
      </c>
      <c r="F27" s="19" t="s">
        <v>263</v>
      </c>
      <c r="G27" s="20" t="s">
        <v>41</v>
      </c>
      <c r="H27" s="19" t="s">
        <v>1373</v>
      </c>
    </row>
    <row r="28" customFormat="false" ht="15" hidden="false" customHeight="false" outlineLevel="0" collapsed="false">
      <c r="A28" s="19" t="s">
        <v>896</v>
      </c>
      <c r="B28" s="19" t="s">
        <v>894</v>
      </c>
      <c r="C28" s="19" t="s">
        <v>886</v>
      </c>
      <c r="D28" s="19" t="s">
        <v>246</v>
      </c>
      <c r="E28" s="19" t="s">
        <v>1379</v>
      </c>
      <c r="F28" s="19" t="s">
        <v>263</v>
      </c>
      <c r="G28" s="20" t="s">
        <v>41</v>
      </c>
      <c r="H28" s="19" t="s">
        <v>1373</v>
      </c>
    </row>
    <row r="29" customFormat="false" ht="15" hidden="false" customHeight="false" outlineLevel="0" collapsed="false">
      <c r="A29" s="19" t="s">
        <v>945</v>
      </c>
      <c r="B29" s="19" t="s">
        <v>941</v>
      </c>
      <c r="C29" s="19" t="s">
        <v>942</v>
      </c>
      <c r="D29" s="19" t="s">
        <v>246</v>
      </c>
      <c r="E29" s="19" t="s">
        <v>1380</v>
      </c>
      <c r="F29" s="19" t="s">
        <v>263</v>
      </c>
      <c r="G29" s="20" t="s">
        <v>41</v>
      </c>
      <c r="H29" s="19" t="s">
        <v>1373</v>
      </c>
    </row>
    <row r="30" customFormat="false" ht="15" hidden="false" customHeight="false" outlineLevel="0" collapsed="false">
      <c r="A30" s="19" t="s">
        <v>566</v>
      </c>
      <c r="B30" s="19" t="s">
        <v>976</v>
      </c>
      <c r="C30" s="19" t="s">
        <v>1381</v>
      </c>
      <c r="D30" s="19" t="s">
        <v>73</v>
      </c>
      <c r="E30" s="19" t="s">
        <v>1382</v>
      </c>
      <c r="F30" s="19" t="s">
        <v>263</v>
      </c>
      <c r="G30" s="20" t="s">
        <v>41</v>
      </c>
      <c r="H30" s="19" t="s">
        <v>1373</v>
      </c>
    </row>
    <row r="31" customFormat="false" ht="22.35" hidden="false" customHeight="false" outlineLevel="0" collapsed="false">
      <c r="A31" s="19" t="s">
        <v>802</v>
      </c>
      <c r="B31" s="19" t="s">
        <v>1383</v>
      </c>
      <c r="C31" s="19" t="s">
        <v>1384</v>
      </c>
      <c r="D31" s="19" t="s">
        <v>246</v>
      </c>
      <c r="E31" s="19" t="s">
        <v>1385</v>
      </c>
      <c r="F31" s="19" t="s">
        <v>263</v>
      </c>
      <c r="G31" s="20" t="s">
        <v>41</v>
      </c>
      <c r="H31" s="19" t="s">
        <v>1373</v>
      </c>
    </row>
    <row r="32" customFormat="false" ht="22.35" hidden="false" customHeight="false" outlineLevel="0" collapsed="false">
      <c r="A32" s="19" t="s">
        <v>923</v>
      </c>
      <c r="B32" s="19" t="s">
        <v>920</v>
      </c>
      <c r="C32" s="19" t="s">
        <v>1386</v>
      </c>
      <c r="D32" s="19" t="s">
        <v>246</v>
      </c>
      <c r="E32" s="19" t="s">
        <v>1387</v>
      </c>
      <c r="F32" s="19" t="s">
        <v>263</v>
      </c>
      <c r="G32" s="20" t="s">
        <v>41</v>
      </c>
      <c r="H32" s="19" t="s">
        <v>1373</v>
      </c>
    </row>
  </sheetData>
  <autoFilter ref="A1:H32"/>
  <conditionalFormatting sqref="G2:G32">
    <cfRule type="cellIs" priority="2" operator="equal" aboveAverage="0" equalAverage="0" bottom="0" percent="0" rank="0" text="" dxfId="10">
      <formula>"Pass"</formula>
    </cfRule>
    <cfRule type="cellIs" priority="3" operator="equal" aboveAverage="0" equalAverage="0" bottom="0" percent="0" rank="0" text="" dxfId="11">
      <formula>"Fail"</formula>
    </cfRule>
    <cfRule type="cellIs" priority="4" operator="equal" aboveAverage="0" equalAverage="0" bottom="0" percent="0" rank="0" text="" dxfId="12">
      <formula>"Partial"</formula>
    </cfRule>
    <cfRule type="cellIs" priority="5" operator="equal" aboveAverage="0" equalAverage="0" bottom="0" percent="0" rank="0" text="" dxfId="13">
      <formula>"Blocked"</formula>
    </cfRule>
    <cfRule type="cellIs" priority="6" operator="equal" aboveAverage="0" equalAverage="0" bottom="0" percent="0" rank="0" text="" dxfId="14">
      <formula>"Not Executed"</formula>
    </cfRule>
    <cfRule type="cellIs" priority="7" operator="equal" aboveAverage="0" equalAverage="0" bottom="0" percent="0" rank="0" text="" dxfId="15">
      <formula>"Not Retested"</formula>
    </cfRule>
    <cfRule type="cellIs" priority="8" operator="equal" aboveAverage="0" equalAverage="0" bottom="0" percent="0" rank="0" text="" dxfId="16">
      <formula>"N/A (Phase 2)"</formula>
    </cfRule>
    <cfRule type="cellIs" priority="9" operator="equal" aboveAverage="0" equalAverage="0" bottom="0" percent="0" rank="0" text="" dxfId="16">
      <formula>"N/A (Open item)"</formula>
    </cfRule>
    <cfRule type="cellIs" priority="10" operator="equal" aboveAverage="0" equalAverage="0" bottom="0" percent="0" rank="0" text="" dxfId="16">
      <formula>"N/A"</formula>
    </cfRule>
    <cfRule type="cellIs" priority="11" operator="equal" aboveAverage="0" equalAverage="0" bottom="0" percent="0" rank="0" text="" dxfId="10">
      <formula>"Fixed"</formula>
    </cfRule>
    <cfRule type="cellIs" priority="12" operator="equal" aboveAverage="0" equalAverage="0" bottom="0" percent="0" rank="0" text="" dxfId="12">
      <formula>"Partially fixed"</formula>
    </cfRule>
    <cfRule type="cellIs" priority="13" operator="equal" aboveAverage="0" equalAverage="0" bottom="0" percent="0" rank="0" text="" dxfId="11">
      <formula>"Open"</formula>
    </cfRule>
    <cfRule type="cellIs" priority="14" operator="equal" aboveAverage="0" equalAverage="0" bottom="0" percent="0" rank="0" text="" dxfId="17">
      <formula>"New"</formula>
    </cfRule>
    <cfRule type="cellIs" priority="15" operator="equal" aboveAverage="0" equalAverage="0" bottom="0" percent="0" rank="0" text="" dxfId="15">
      <formula>"Withdrawn"</formula>
    </cfRule>
  </conditionalFormatting>
  <conditionalFormatting sqref="D2:D32">
    <cfRule type="cellIs" priority="16" operator="equal" aboveAverage="0" equalAverage="0" bottom="0" percent="0" rank="0" text="" dxfId="20">
      <formula>"Critical"</formula>
    </cfRule>
    <cfRule type="cellIs" priority="17" operator="equal" aboveAverage="0" equalAverage="0" bottom="0" percent="0" rank="0" text="" dxfId="11">
      <formula>"High"</formula>
    </cfRule>
    <cfRule type="cellIs" priority="18" operator="equal" aboveAverage="0" equalAverage="0" bottom="0" percent="0" rank="0" text="" dxfId="12">
      <formula>"Medium"</formula>
    </cfRule>
    <cfRule type="cellIs" priority="19" operator="equal" aboveAverage="0" equalAverage="0" bottom="0" percent="0" rank="0" text="" dxfId="14">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100"/>
    <col collapsed="false" customWidth="true" hidden="false" outlineLevel="0" max="4" min="4" style="0" width="22"/>
  </cols>
  <sheetData>
    <row r="1" customFormat="false" ht="15" hidden="false" customHeight="false" outlineLevel="0" collapsed="false">
      <c r="A1" s="18" t="s">
        <v>1388</v>
      </c>
      <c r="B1" s="18" t="s">
        <v>1389</v>
      </c>
      <c r="C1" s="18" t="s">
        <v>1390</v>
      </c>
      <c r="D1" s="18" t="s">
        <v>1391</v>
      </c>
    </row>
    <row r="2" customFormat="false" ht="15" hidden="false" customHeight="false" outlineLevel="0" collapsed="false">
      <c r="A2" s="19" t="s">
        <v>1392</v>
      </c>
      <c r="B2" s="19" t="s">
        <v>62</v>
      </c>
      <c r="C2" s="19" t="s">
        <v>1393</v>
      </c>
      <c r="D2" s="19" t="s">
        <v>1394</v>
      </c>
    </row>
    <row r="3" customFormat="false" ht="22.35" hidden="false" customHeight="false" outlineLevel="0" collapsed="false">
      <c r="A3" s="19" t="s">
        <v>107</v>
      </c>
      <c r="B3" s="19" t="s">
        <v>101</v>
      </c>
      <c r="C3" s="19" t="s">
        <v>1395</v>
      </c>
      <c r="D3" s="19" t="s">
        <v>1396</v>
      </c>
    </row>
    <row r="4" customFormat="false" ht="15" hidden="false" customHeight="false" outlineLevel="0" collapsed="false">
      <c r="A4" s="19" t="s">
        <v>1397</v>
      </c>
      <c r="B4" s="19" t="s">
        <v>160</v>
      </c>
      <c r="C4" s="19" t="s">
        <v>1398</v>
      </c>
      <c r="D4" s="19" t="s">
        <v>1396</v>
      </c>
    </row>
    <row r="5" customFormat="false" ht="22.35" hidden="false" customHeight="false" outlineLevel="0" collapsed="false">
      <c r="A5" s="19" t="s">
        <v>1399</v>
      </c>
      <c r="B5" s="19" t="s">
        <v>166</v>
      </c>
      <c r="C5" s="19" t="s">
        <v>1400</v>
      </c>
      <c r="D5" s="19" t="s">
        <v>1396</v>
      </c>
    </row>
    <row r="6" customFormat="false" ht="15" hidden="false" customHeight="false" outlineLevel="0" collapsed="false">
      <c r="A6" s="19" t="s">
        <v>1401</v>
      </c>
      <c r="B6" s="19" t="s">
        <v>191</v>
      </c>
      <c r="C6" s="19" t="s">
        <v>1402</v>
      </c>
      <c r="D6" s="19" t="s">
        <v>1396</v>
      </c>
    </row>
    <row r="7" customFormat="false" ht="22.35" hidden="false" customHeight="false" outlineLevel="0" collapsed="false">
      <c r="A7" s="19" t="s">
        <v>204</v>
      </c>
      <c r="B7" s="19" t="s">
        <v>1403</v>
      </c>
      <c r="C7" s="19" t="s">
        <v>1404</v>
      </c>
      <c r="D7" s="19" t="s">
        <v>1396</v>
      </c>
    </row>
    <row r="8" customFormat="false" ht="15" hidden="false" customHeight="false" outlineLevel="0" collapsed="false">
      <c r="A8" s="19" t="s">
        <v>1405</v>
      </c>
      <c r="B8" s="19" t="s">
        <v>238</v>
      </c>
      <c r="C8" s="19" t="s">
        <v>1406</v>
      </c>
      <c r="D8" s="19" t="s">
        <v>1396</v>
      </c>
    </row>
    <row r="9" customFormat="false" ht="22.35" hidden="false" customHeight="false" outlineLevel="0" collapsed="false">
      <c r="A9" s="19" t="s">
        <v>1407</v>
      </c>
      <c r="B9" s="19" t="s">
        <v>266</v>
      </c>
      <c r="C9" s="19" t="s">
        <v>1408</v>
      </c>
      <c r="D9" s="19" t="s">
        <v>1394</v>
      </c>
    </row>
    <row r="10" customFormat="false" ht="22.35" hidden="false" customHeight="false" outlineLevel="0" collapsed="false">
      <c r="A10" s="19" t="s">
        <v>1409</v>
      </c>
      <c r="B10" s="19" t="s">
        <v>313</v>
      </c>
      <c r="C10" s="19" t="s">
        <v>1410</v>
      </c>
      <c r="D10" s="19" t="s">
        <v>1396</v>
      </c>
    </row>
    <row r="11" customFormat="false" ht="22.35" hidden="false" customHeight="false" outlineLevel="0" collapsed="false">
      <c r="A11" s="19" t="s">
        <v>1411</v>
      </c>
      <c r="B11" s="19" t="s">
        <v>328</v>
      </c>
      <c r="C11" s="19" t="s">
        <v>1412</v>
      </c>
      <c r="D11" s="19" t="s">
        <v>1396</v>
      </c>
    </row>
    <row r="12" customFormat="false" ht="22.35" hidden="false" customHeight="false" outlineLevel="0" collapsed="false">
      <c r="A12" s="19" t="s">
        <v>1413</v>
      </c>
      <c r="B12" s="19" t="s">
        <v>351</v>
      </c>
      <c r="C12" s="19" t="s">
        <v>1414</v>
      </c>
      <c r="D12" s="19" t="s">
        <v>1415</v>
      </c>
    </row>
    <row r="13" customFormat="false" ht="15" hidden="false" customHeight="false" outlineLevel="0" collapsed="false">
      <c r="A13" s="19" t="s">
        <v>411</v>
      </c>
      <c r="B13" s="19" t="s">
        <v>404</v>
      </c>
      <c r="C13" s="19" t="s">
        <v>1416</v>
      </c>
      <c r="D13" s="19" t="s">
        <v>1396</v>
      </c>
    </row>
    <row r="14" customFormat="false" ht="15" hidden="false" customHeight="false" outlineLevel="0" collapsed="false">
      <c r="A14" s="19" t="s">
        <v>1417</v>
      </c>
      <c r="B14" s="19" t="s">
        <v>528</v>
      </c>
      <c r="C14" s="19" t="s">
        <v>1418</v>
      </c>
      <c r="D14" s="19" t="s">
        <v>1396</v>
      </c>
    </row>
    <row r="15" customFormat="false" ht="22.35" hidden="false" customHeight="false" outlineLevel="0" collapsed="false">
      <c r="A15" s="19" t="s">
        <v>1419</v>
      </c>
      <c r="B15" s="19" t="s">
        <v>558</v>
      </c>
      <c r="C15" s="19" t="s">
        <v>1420</v>
      </c>
      <c r="D15" s="19" t="s">
        <v>1396</v>
      </c>
    </row>
    <row r="16" customFormat="false" ht="22.35" hidden="false" customHeight="false" outlineLevel="0" collapsed="false">
      <c r="A16" s="19" t="s">
        <v>1421</v>
      </c>
      <c r="B16" s="19" t="s">
        <v>1422</v>
      </c>
      <c r="C16" s="19" t="s">
        <v>1423</v>
      </c>
      <c r="D16" s="19" t="s">
        <v>40</v>
      </c>
    </row>
    <row r="17" customFormat="false" ht="22.35" hidden="false" customHeight="false" outlineLevel="0" collapsed="false">
      <c r="A17" s="19" t="s">
        <v>153</v>
      </c>
      <c r="B17" s="19" t="s">
        <v>1424</v>
      </c>
      <c r="C17" s="19" t="s">
        <v>1425</v>
      </c>
      <c r="D17" s="19" t="s">
        <v>41</v>
      </c>
    </row>
    <row r="18" customFormat="false" ht="15" hidden="false" customHeight="false" outlineLevel="0" collapsed="false">
      <c r="A18" s="19" t="s">
        <v>601</v>
      </c>
      <c r="B18" s="19" t="s">
        <v>598</v>
      </c>
      <c r="C18" s="19" t="s">
        <v>1426</v>
      </c>
      <c r="D18" s="19" t="s">
        <v>41</v>
      </c>
    </row>
    <row r="19" customFormat="false" ht="15" hidden="false" customHeight="false" outlineLevel="0" collapsed="false">
      <c r="A19" s="19" t="s">
        <v>928</v>
      </c>
      <c r="B19" s="19" t="s">
        <v>924</v>
      </c>
      <c r="C19" s="19" t="s">
        <v>1427</v>
      </c>
      <c r="D19" s="19" t="s">
        <v>41</v>
      </c>
    </row>
    <row r="20" customFormat="false" ht="22.35" hidden="false" customHeight="false" outlineLevel="0" collapsed="false">
      <c r="A20" s="19" t="s">
        <v>1428</v>
      </c>
      <c r="B20" s="19" t="s">
        <v>5</v>
      </c>
      <c r="C20" s="19" t="s">
        <v>1429</v>
      </c>
      <c r="D20" s="19" t="s">
        <v>41</v>
      </c>
    </row>
    <row r="21" customFormat="false" ht="32.8" hidden="false" customHeight="false" outlineLevel="0" collapsed="false">
      <c r="A21" s="19" t="s">
        <v>1430</v>
      </c>
      <c r="B21" s="19" t="s">
        <v>1431</v>
      </c>
      <c r="C21" s="19" t="s">
        <v>1432</v>
      </c>
      <c r="D21" s="19" t="s">
        <v>41</v>
      </c>
    </row>
    <row r="22" customFormat="false" ht="32.8" hidden="false" customHeight="false" outlineLevel="0" collapsed="false">
      <c r="A22" s="19" t="s">
        <v>1433</v>
      </c>
      <c r="B22" s="19" t="s">
        <v>1434</v>
      </c>
      <c r="C22" s="19" t="s">
        <v>1435</v>
      </c>
      <c r="D22" s="19" t="s">
        <v>41</v>
      </c>
    </row>
    <row r="23" customFormat="false" ht="32.8" hidden="false" customHeight="false" outlineLevel="0" collapsed="false">
      <c r="A23" s="19" t="s">
        <v>1436</v>
      </c>
      <c r="B23" s="19" t="s">
        <v>1437</v>
      </c>
      <c r="C23" s="19" t="s">
        <v>1438</v>
      </c>
      <c r="D23" s="19" t="s">
        <v>41</v>
      </c>
    </row>
    <row r="24" customFormat="false" ht="64.15" hidden="false" customHeight="false" outlineLevel="0" collapsed="false">
      <c r="A24" s="19" t="s">
        <v>121</v>
      </c>
      <c r="B24" s="19" t="s">
        <v>1439</v>
      </c>
      <c r="C24" s="19" t="s">
        <v>1440</v>
      </c>
      <c r="D24" s="19" t="s">
        <v>41</v>
      </c>
    </row>
    <row r="25" customFormat="false" ht="15" hidden="false" customHeight="false" outlineLevel="0" collapsed="false">
      <c r="A25" s="19" t="s">
        <v>1441</v>
      </c>
      <c r="B25" s="19" t="s">
        <v>1345</v>
      </c>
      <c r="C25" s="19" t="s">
        <v>1442</v>
      </c>
      <c r="D25" s="19" t="s">
        <v>41</v>
      </c>
    </row>
  </sheetData>
  <autoFilter ref="A1:D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48"/>
    <col collapsed="false" customWidth="true" hidden="false" outlineLevel="0" max="4" min="4" style="0" width="55"/>
    <col collapsed="false" customWidth="true" hidden="false" outlineLevel="0" max="5" min="5" style="0" width="32"/>
  </cols>
  <sheetData>
    <row r="1" customFormat="false" ht="15" hidden="false" customHeight="false" outlineLevel="0" collapsed="false">
      <c r="A1" s="18" t="s">
        <v>1443</v>
      </c>
      <c r="B1" s="18" t="s">
        <v>1295</v>
      </c>
      <c r="C1" s="18" t="s">
        <v>1444</v>
      </c>
      <c r="D1" s="18" t="s">
        <v>1445</v>
      </c>
      <c r="E1" s="18" t="s">
        <v>1446</v>
      </c>
    </row>
    <row r="2" customFormat="false" ht="22.35" hidden="false" customHeight="false" outlineLevel="0" collapsed="false">
      <c r="A2" s="19" t="s">
        <v>1447</v>
      </c>
      <c r="B2" s="19" t="s">
        <v>1448</v>
      </c>
      <c r="C2" s="19" t="s">
        <v>1449</v>
      </c>
      <c r="D2" s="19" t="s">
        <v>1450</v>
      </c>
      <c r="E2" s="19" t="s">
        <v>1451</v>
      </c>
    </row>
    <row r="3" customFormat="false" ht="22.35" hidden="false" customHeight="false" outlineLevel="0" collapsed="false">
      <c r="A3" s="19" t="s">
        <v>1452</v>
      </c>
      <c r="B3" s="19" t="s">
        <v>1453</v>
      </c>
      <c r="C3" s="19" t="s">
        <v>1454</v>
      </c>
      <c r="D3" s="19" t="s">
        <v>1455</v>
      </c>
      <c r="E3" s="19" t="s">
        <v>1456</v>
      </c>
    </row>
    <row r="4" customFormat="false" ht="43.25" hidden="false" customHeight="false" outlineLevel="0" collapsed="false">
      <c r="A4" s="19" t="s">
        <v>1457</v>
      </c>
      <c r="B4" s="19" t="s">
        <v>1458</v>
      </c>
      <c r="C4" s="19" t="s">
        <v>1459</v>
      </c>
      <c r="D4" s="19" t="s">
        <v>1460</v>
      </c>
      <c r="E4" s="19" t="s">
        <v>1461</v>
      </c>
    </row>
    <row r="5" customFormat="false" ht="22.35" hidden="false" customHeight="false" outlineLevel="0" collapsed="false">
      <c r="A5" s="19" t="s">
        <v>1462</v>
      </c>
      <c r="B5" s="19" t="s">
        <v>1463</v>
      </c>
      <c r="C5" s="19" t="s">
        <v>1464</v>
      </c>
      <c r="D5" s="19" t="s">
        <v>1465</v>
      </c>
      <c r="E5" s="19" t="s">
        <v>1456</v>
      </c>
    </row>
    <row r="6" customFormat="false" ht="22.35" hidden="false" customHeight="false" outlineLevel="0" collapsed="false">
      <c r="A6" s="19" t="s">
        <v>1466</v>
      </c>
      <c r="B6" s="19" t="s">
        <v>1467</v>
      </c>
      <c r="C6" s="19" t="s">
        <v>1468</v>
      </c>
      <c r="D6" s="19" t="s">
        <v>1469</v>
      </c>
      <c r="E6" s="19" t="s">
        <v>1456</v>
      </c>
    </row>
    <row r="7" customFormat="false" ht="15" hidden="false" customHeight="false" outlineLevel="0" collapsed="false">
      <c r="A7" s="19" t="s">
        <v>1470</v>
      </c>
      <c r="B7" s="19" t="s">
        <v>1471</v>
      </c>
      <c r="C7" s="19" t="s">
        <v>1472</v>
      </c>
      <c r="D7" s="19" t="s">
        <v>1473</v>
      </c>
      <c r="E7" s="19" t="s">
        <v>1474</v>
      </c>
    </row>
    <row r="8" customFormat="false" ht="15" hidden="false" customHeight="false" outlineLevel="0" collapsed="false">
      <c r="A8" s="19" t="s">
        <v>1475</v>
      </c>
      <c r="B8" s="19" t="s">
        <v>1476</v>
      </c>
      <c r="C8" s="19" t="s">
        <v>1477</v>
      </c>
      <c r="D8" s="19" t="s">
        <v>1478</v>
      </c>
      <c r="E8" s="19" t="s">
        <v>1479</v>
      </c>
    </row>
    <row r="9" customFormat="false" ht="22.35" hidden="false" customHeight="false" outlineLevel="0" collapsed="false">
      <c r="A9" s="19" t="s">
        <v>1480</v>
      </c>
      <c r="B9" s="19" t="s">
        <v>1481</v>
      </c>
      <c r="C9" s="19" t="s">
        <v>1482</v>
      </c>
      <c r="D9" s="19" t="s">
        <v>1483</v>
      </c>
      <c r="E9" s="19" t="s">
        <v>1474</v>
      </c>
    </row>
    <row r="10" customFormat="false" ht="22.35" hidden="false" customHeight="false" outlineLevel="0" collapsed="false">
      <c r="A10" s="19" t="s">
        <v>1484</v>
      </c>
      <c r="B10" s="19" t="s">
        <v>1485</v>
      </c>
      <c r="C10" s="19" t="s">
        <v>1486</v>
      </c>
      <c r="D10" s="19" t="s">
        <v>1487</v>
      </c>
      <c r="E10" s="19" t="s">
        <v>1488</v>
      </c>
    </row>
    <row r="11" customFormat="false" ht="15" hidden="false" customHeight="false" outlineLevel="0" collapsed="false">
      <c r="A11" s="19" t="s">
        <v>1489</v>
      </c>
      <c r="B11" s="19" t="s">
        <v>1490</v>
      </c>
      <c r="C11" s="19" t="s">
        <v>1491</v>
      </c>
      <c r="D11" s="19" t="s">
        <v>1492</v>
      </c>
      <c r="E11" s="19" t="s">
        <v>1456</v>
      </c>
    </row>
    <row r="12" customFormat="false" ht="22.35" hidden="false" customHeight="false" outlineLevel="0" collapsed="false">
      <c r="A12" s="19" t="s">
        <v>1493</v>
      </c>
      <c r="B12" s="19" t="s">
        <v>1494</v>
      </c>
      <c r="C12" s="19" t="s">
        <v>1495</v>
      </c>
      <c r="D12" s="19" t="s">
        <v>1496</v>
      </c>
      <c r="E12" s="19" t="s">
        <v>1456</v>
      </c>
    </row>
    <row r="13" customFormat="false" ht="22.35" hidden="false" customHeight="false" outlineLevel="0" collapsed="false">
      <c r="A13" s="19" t="s">
        <v>1497</v>
      </c>
      <c r="B13" s="19" t="s">
        <v>901</v>
      </c>
      <c r="C13" s="19" t="s">
        <v>1498</v>
      </c>
      <c r="D13" s="19" t="s">
        <v>1499</v>
      </c>
      <c r="E13" s="19" t="s">
        <v>1500</v>
      </c>
    </row>
    <row r="14" customFormat="false" ht="15" hidden="false" customHeight="false" outlineLevel="0" collapsed="false">
      <c r="A14" s="19" t="s">
        <v>1501</v>
      </c>
      <c r="B14" s="19" t="s">
        <v>1502</v>
      </c>
      <c r="C14" s="19" t="s">
        <v>1503</v>
      </c>
      <c r="D14" s="19" t="s">
        <v>1504</v>
      </c>
      <c r="E14" s="19" t="s">
        <v>1456</v>
      </c>
    </row>
    <row r="15" customFormat="false" ht="15" hidden="false" customHeight="false" outlineLevel="0" collapsed="false">
      <c r="A15" s="19" t="s">
        <v>1505</v>
      </c>
      <c r="B15" s="19" t="s">
        <v>1506</v>
      </c>
      <c r="C15" s="19" t="s">
        <v>1507</v>
      </c>
      <c r="D15" s="19" t="s">
        <v>1508</v>
      </c>
      <c r="E15" s="19" t="s">
        <v>1509</v>
      </c>
    </row>
    <row r="16" customFormat="false" ht="15" hidden="false" customHeight="false" outlineLevel="0" collapsed="false">
      <c r="A16" s="19" t="s">
        <v>1510</v>
      </c>
      <c r="B16" s="19" t="s">
        <v>1345</v>
      </c>
      <c r="C16" s="19" t="s">
        <v>1511</v>
      </c>
      <c r="D16" s="19" t="s">
        <v>1512</v>
      </c>
      <c r="E16" s="19" t="s">
        <v>1474</v>
      </c>
    </row>
  </sheetData>
  <autoFilter ref="A1:E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36"/>
    <col collapsed="false" customWidth="true" hidden="false" outlineLevel="0" max="4" min="3" style="0" width="12"/>
    <col collapsed="false" customWidth="true" hidden="false" outlineLevel="0" max="5" min="5" style="0" width="18"/>
  </cols>
  <sheetData>
    <row r="1" customFormat="false" ht="15" hidden="false" customHeight="false" outlineLevel="0" collapsed="false">
      <c r="A1" s="14" t="s">
        <v>1513</v>
      </c>
    </row>
    <row r="3" customFormat="false" ht="15" hidden="false" customHeight="false" outlineLevel="0" collapsed="false">
      <c r="A3" s="21" t="s">
        <v>1514</v>
      </c>
      <c r="B3" s="21" t="s">
        <v>1515</v>
      </c>
      <c r="C3" s="21" t="s">
        <v>1516</v>
      </c>
      <c r="D3" s="21" t="s">
        <v>1517</v>
      </c>
      <c r="E3" s="21" t="s">
        <v>1518</v>
      </c>
    </row>
    <row r="4" customFormat="false" ht="15" hidden="false" customHeight="false" outlineLevel="0" collapsed="false">
      <c r="A4" s="22" t="s">
        <v>1269</v>
      </c>
      <c r="B4" s="22" t="s">
        <v>1519</v>
      </c>
      <c r="C4" s="23" t="n">
        <v>43003</v>
      </c>
      <c r="D4" s="23" t="n">
        <v>43003</v>
      </c>
      <c r="E4" s="22" t="s">
        <v>1520</v>
      </c>
    </row>
    <row r="5" customFormat="false" ht="15" hidden="false" customHeight="false" outlineLevel="0" collapsed="false">
      <c r="A5" s="22" t="s">
        <v>1269</v>
      </c>
      <c r="B5" s="22" t="s">
        <v>1521</v>
      </c>
      <c r="C5" s="23" t="n">
        <v>21408</v>
      </c>
      <c r="D5" s="23" t="n">
        <v>21398</v>
      </c>
      <c r="E5" s="22" t="s">
        <v>1520</v>
      </c>
    </row>
    <row r="6" customFormat="false" ht="15" hidden="false" customHeight="false" outlineLevel="0" collapsed="false">
      <c r="A6" s="22" t="s">
        <v>1522</v>
      </c>
      <c r="B6" s="22" t="s">
        <v>263</v>
      </c>
      <c r="C6" s="23" t="n">
        <v>11561</v>
      </c>
      <c r="D6" s="23" t="n">
        <v>11561</v>
      </c>
      <c r="E6" s="22" t="s">
        <v>1520</v>
      </c>
    </row>
    <row r="7" customFormat="false" ht="15" hidden="false" customHeight="false" outlineLevel="0" collapsed="false">
      <c r="A7" s="22" t="s">
        <v>1523</v>
      </c>
      <c r="B7" s="22" t="s">
        <v>1524</v>
      </c>
      <c r="C7" s="23" t="n">
        <v>1715</v>
      </c>
      <c r="D7" s="23" t="n">
        <v>1710</v>
      </c>
      <c r="E7" s="22" t="s">
        <v>1525</v>
      </c>
    </row>
    <row r="8" customFormat="false" ht="15" hidden="false" customHeight="false" outlineLevel="0" collapsed="false">
      <c r="A8" s="22" t="s">
        <v>1526</v>
      </c>
      <c r="B8" s="22" t="s">
        <v>1524</v>
      </c>
      <c r="C8" s="23" t="n">
        <v>5245</v>
      </c>
      <c r="D8" s="23" t="n">
        <v>5199</v>
      </c>
      <c r="E8" s="22" t="s">
        <v>1525</v>
      </c>
    </row>
    <row r="9" customFormat="false" ht="15" hidden="false" customHeight="false" outlineLevel="0" collapsed="false">
      <c r="A9" s="22" t="s">
        <v>1526</v>
      </c>
      <c r="B9" s="22" t="s">
        <v>1527</v>
      </c>
      <c r="C9" s="23" t="n">
        <v>249</v>
      </c>
      <c r="D9" s="23" t="n">
        <v>249</v>
      </c>
      <c r="E9" s="22" t="s">
        <v>1520</v>
      </c>
    </row>
    <row r="10" customFormat="false" ht="15" hidden="false" customHeight="false" outlineLevel="0" collapsed="false">
      <c r="A10" s="22" t="s">
        <v>1528</v>
      </c>
      <c r="B10" s="22" t="s">
        <v>1524</v>
      </c>
      <c r="C10" s="23" t="n">
        <v>268</v>
      </c>
      <c r="D10" s="23" t="n">
        <v>256</v>
      </c>
      <c r="E10" s="22" t="s">
        <v>1525</v>
      </c>
    </row>
    <row r="11" customFormat="false" ht="15" hidden="false" customHeight="false" outlineLevel="0" collapsed="false">
      <c r="A11" s="22" t="s">
        <v>1528</v>
      </c>
      <c r="B11" s="22" t="s">
        <v>1527</v>
      </c>
      <c r="C11" s="23" t="n">
        <v>2</v>
      </c>
      <c r="D11" s="23" t="n">
        <v>2</v>
      </c>
      <c r="E11" s="22" t="s">
        <v>1520</v>
      </c>
    </row>
    <row r="12" customFormat="false" ht="15" hidden="false" customHeight="false" outlineLevel="0" collapsed="false">
      <c r="A12" s="22" t="s">
        <v>1529</v>
      </c>
      <c r="B12" s="22" t="s">
        <v>1524</v>
      </c>
      <c r="C12" s="23" t="n">
        <v>53</v>
      </c>
      <c r="D12" s="23" t="n">
        <v>53</v>
      </c>
      <c r="E12" s="22" t="s">
        <v>1525</v>
      </c>
    </row>
    <row r="13" customFormat="false" ht="15" hidden="false" customHeight="false" outlineLevel="0" collapsed="false">
      <c r="A13" s="22" t="s">
        <v>1530</v>
      </c>
      <c r="B13" s="22" t="s">
        <v>263</v>
      </c>
      <c r="C13" s="23" t="n">
        <v>841</v>
      </c>
      <c r="D13" s="23" t="n">
        <v>841</v>
      </c>
      <c r="E13" s="22" t="s">
        <v>1531</v>
      </c>
    </row>
    <row r="14" customFormat="false" ht="15" hidden="false" customHeight="false" outlineLevel="0" collapsed="false">
      <c r="A14" s="22" t="s">
        <v>336</v>
      </c>
      <c r="B14" s="22" t="s">
        <v>1532</v>
      </c>
      <c r="C14" s="23" t="n">
        <v>127</v>
      </c>
      <c r="D14" s="23" t="n">
        <v>127</v>
      </c>
      <c r="E14" s="22" t="s">
        <v>1520</v>
      </c>
    </row>
    <row r="15" customFormat="false" ht="15" hidden="false" customHeight="false" outlineLevel="0" collapsed="false">
      <c r="A15" s="22" t="s">
        <v>336</v>
      </c>
      <c r="B15" s="22" t="s">
        <v>1533</v>
      </c>
      <c r="C15" s="23" t="n">
        <v>1</v>
      </c>
      <c r="D15" s="23" t="n">
        <v>0</v>
      </c>
      <c r="E15" s="22" t="s">
        <v>1520</v>
      </c>
    </row>
    <row r="16" customFormat="false" ht="15" hidden="false" customHeight="false" outlineLevel="0" collapsed="false">
      <c r="A16" s="22" t="s">
        <v>1534</v>
      </c>
      <c r="B16" s="22" t="s">
        <v>263</v>
      </c>
      <c r="C16" s="23" t="n">
        <v>14</v>
      </c>
      <c r="D16" s="23" t="n">
        <v>0</v>
      </c>
      <c r="E16" s="22" t="s">
        <v>1531</v>
      </c>
    </row>
    <row r="17" customFormat="false" ht="15" hidden="false" customHeight="false" outlineLevel="0" collapsed="false">
      <c r="A17" s="22" t="s">
        <v>1535</v>
      </c>
      <c r="B17" s="22" t="s">
        <v>263</v>
      </c>
      <c r="C17" s="23" t="n">
        <v>1</v>
      </c>
      <c r="D17" s="23" t="n">
        <v>0</v>
      </c>
      <c r="E17" s="22" t="s">
        <v>1520</v>
      </c>
    </row>
    <row r="18" customFormat="false" ht="15" hidden="false" customHeight="false" outlineLevel="0" collapsed="false">
      <c r="A18" s="22" t="s">
        <v>1258</v>
      </c>
      <c r="B18" s="22" t="s">
        <v>263</v>
      </c>
      <c r="C18" s="23" t="n">
        <v>1</v>
      </c>
      <c r="D18" s="23" t="n">
        <v>0</v>
      </c>
      <c r="E18" s="22" t="s">
        <v>1520</v>
      </c>
    </row>
    <row r="19" customFormat="false" ht="15" hidden="false" customHeight="false" outlineLevel="0" collapsed="false">
      <c r="A19" s="22" t="s">
        <v>1536</v>
      </c>
      <c r="B19" s="22" t="s">
        <v>263</v>
      </c>
      <c r="C19" s="23" t="n">
        <v>2</v>
      </c>
      <c r="D19" s="23" t="n">
        <v>0</v>
      </c>
      <c r="E19" s="22" t="s">
        <v>1520</v>
      </c>
    </row>
    <row r="20" customFormat="false" ht="15" hidden="false" customHeight="false" outlineLevel="0" collapsed="false">
      <c r="A20" s="22" t="s">
        <v>1537</v>
      </c>
      <c r="B20" s="22" t="s">
        <v>263</v>
      </c>
      <c r="C20" s="23" t="n">
        <v>3</v>
      </c>
      <c r="D20" s="23" t="n">
        <v>0</v>
      </c>
      <c r="E20" s="22" t="s">
        <v>1520</v>
      </c>
    </row>
    <row r="21" customFormat="false" ht="15" hidden="false" customHeight="false" outlineLevel="0" collapsed="false">
      <c r="A21" s="2" t="s">
        <v>19</v>
      </c>
      <c r="C21" s="24" t="n">
        <f aca="false">SUM(C4:C20)</f>
        <v>84494</v>
      </c>
      <c r="D21" s="24" t="n">
        <f aca="false">SUM(D4:D20)</f>
        <v>84399</v>
      </c>
    </row>
    <row r="23" customFormat="false" ht="15" hidden="false" customHeight="false" outlineLevel="0" collapsed="false">
      <c r="A23" s="2" t="s">
        <v>1538</v>
      </c>
      <c r="D23" s="25" t="n">
        <f aca="false">SUMIFS(D4:D20,E4:E20,"Yes")</f>
        <v>7218</v>
      </c>
    </row>
    <row r="24" customFormat="false" ht="15" hidden="false" customHeight="false" outlineLevel="0" collapsed="false">
      <c r="A24" s="2" t="s">
        <v>1539</v>
      </c>
      <c r="D24" s="26" t="n">
        <v>7218</v>
      </c>
    </row>
    <row r="25" customFormat="false" ht="15" hidden="false" customHeight="false" outlineLevel="0" collapsed="false">
      <c r="A25" s="2" t="s">
        <v>1540</v>
      </c>
      <c r="D25" s="25" t="n">
        <f aca="false">D24-D23</f>
        <v>0</v>
      </c>
    </row>
    <row r="26" customFormat="false" ht="15" hidden="false" customHeight="false" outlineLevel="0" collapsed="false">
      <c r="A26" s="13" t="s">
        <v>1541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2026-10-20T17:30:38Z</dcterms:created>
  <dc:creator>openpyxl</dc:creator>
  <dc:description/>
  <dc:language>en-US</dc:language>
  <cp:lastModifiedBy/>
  <dcterms:modified xsi:type="dcterms:W3CDTF">2026-10-20T17:30:38Z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