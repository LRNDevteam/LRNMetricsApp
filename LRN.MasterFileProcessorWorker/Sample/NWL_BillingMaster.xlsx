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40F11847-71BE-4CA9-8DFF-FD61350471B2}" xr6:coauthVersionLast="47" xr6:coauthVersionMax="47" xr10:uidLastSave="{00000000-0000-0000-0000-000000000000}"/>
  <bookViews>
    <workbookView xWindow="-120" yWindow="-120" windowWidth="19440" windowHeight="10320" xr2:uid="{9ED093E6-0CCF-4659-9F8C-1DED3BBC6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8" i="1"/>
  <c r="D4" i="1"/>
  <c r="D3" i="1"/>
  <c r="D2" i="1"/>
</calcChain>
</file>

<file path=xl/sharedStrings.xml><?xml version="1.0" encoding="utf-8"?>
<sst xmlns="http://schemas.openxmlformats.org/spreadsheetml/2006/main" count="188" uniqueCount="97">
  <si>
    <t>Source</t>
  </si>
  <si>
    <t>UID</t>
  </si>
  <si>
    <t>Proc-Superbill</t>
  </si>
  <si>
    <t>Proc-Encounter #</t>
  </si>
  <si>
    <t>T/F</t>
  </si>
  <si>
    <t>Panel Name</t>
  </si>
  <si>
    <t>Proc-Patient Acct Number</t>
  </si>
  <si>
    <t>Pat name</t>
  </si>
  <si>
    <t>Patient Birth Date</t>
  </si>
  <si>
    <t>Proc-Referring Dr Name</t>
  </si>
  <si>
    <t>ICD</t>
  </si>
  <si>
    <t>Combined Line Level ICD</t>
  </si>
  <si>
    <t>Combined Claim Level ICD</t>
  </si>
  <si>
    <t>Diag Pointer</t>
  </si>
  <si>
    <t>Primary Carrier Name</t>
  </si>
  <si>
    <t>Primary Carrier Policy Number</t>
  </si>
  <si>
    <t>Claim amount</t>
  </si>
  <si>
    <t>Proc-Date of Service</t>
  </si>
  <si>
    <t>Proc-CPT Code</t>
  </si>
  <si>
    <t>Proc-Modifier 1</t>
  </si>
  <si>
    <t>Proc-CPT Units per CPT</t>
  </si>
  <si>
    <t>Cpt With units</t>
  </si>
  <si>
    <t>Proc-Billing Group Desc</t>
  </si>
  <si>
    <t>Claim Level CPT</t>
  </si>
  <si>
    <t>Entered Date</t>
  </si>
  <si>
    <t>Entered Status</t>
  </si>
  <si>
    <t>Billed date</t>
  </si>
  <si>
    <t>Billed Status</t>
  </si>
  <si>
    <t>Proc-Pmt Acct Date</t>
  </si>
  <si>
    <t>Proc-Charge Amount $</t>
  </si>
  <si>
    <t>ProcTotal Payments $</t>
  </si>
  <si>
    <t>Proc-Total Patient Payments $</t>
  </si>
  <si>
    <t>Proc-Total Adjustments $</t>
  </si>
  <si>
    <t>Proc-Total Bal $</t>
  </si>
  <si>
    <t>Proc-Ins Balance</t>
  </si>
  <si>
    <t>Proc-Pt Balance</t>
  </si>
  <si>
    <t>Denial Code</t>
  </si>
  <si>
    <t>Updated Denial Code</t>
  </si>
  <si>
    <t>Combined Line Level Denial code</t>
  </si>
  <si>
    <t>Combined Claim Level Denial code</t>
  </si>
  <si>
    <t>Proc-Department Desc</t>
  </si>
  <si>
    <t>Proc-Location Desc</t>
  </si>
  <si>
    <t>Proc-Ins Last Refiled/Denied Reason</t>
  </si>
  <si>
    <t>Webpm</t>
  </si>
  <si>
    <t>Blood</t>
  </si>
  <si>
    <t>HENDERSON, VANESSA</t>
  </si>
  <si>
    <t>SANGHVI,PRAKASH</t>
  </si>
  <si>
    <t>E11.42</t>
  </si>
  <si>
    <t>HUMANA</t>
  </si>
  <si>
    <t>H56717684</t>
  </si>
  <si>
    <t>80053*1</t>
  </si>
  <si>
    <t>HUMANA PATIENTS</t>
  </si>
  <si>
    <t/>
  </si>
  <si>
    <t>Sylvan Lake Family Practice</t>
  </si>
  <si>
    <t>81 NORTH WEST LABS, INC.</t>
  </si>
  <si>
    <t>MCSEQ</t>
  </si>
  <si>
    <t>82607*1</t>
  </si>
  <si>
    <t>80053*1, 82607*1</t>
  </si>
  <si>
    <t>83036*1</t>
  </si>
  <si>
    <t>80053*1, 82607*1, 83036*1</t>
  </si>
  <si>
    <t>Acc</t>
  </si>
  <si>
    <t>Enc</t>
  </si>
  <si>
    <t>Pat id</t>
  </si>
  <si>
    <t>Payer</t>
  </si>
  <si>
    <t>Subscriber Id</t>
  </si>
  <si>
    <t>DOS</t>
  </si>
  <si>
    <t>CPT</t>
  </si>
  <si>
    <t>Mod</t>
  </si>
  <si>
    <t>Units</t>
  </si>
  <si>
    <t>Proc</t>
  </si>
  <si>
    <t>Posted date</t>
  </si>
  <si>
    <t>Pat Payments</t>
  </si>
  <si>
    <t>Proc-Adjustment $</t>
  </si>
  <si>
    <t>Loc</t>
  </si>
  <si>
    <t>Daq</t>
  </si>
  <si>
    <t>UNG &amp; UCT</t>
  </si>
  <si>
    <t xml:space="preserve"> AWGR-601727</t>
  </si>
  <si>
    <t xml:space="preserve">ARCE, FRAVIER </t>
  </si>
  <si>
    <t>KEYS, FREDDY</t>
  </si>
  <si>
    <t>Z11.3</t>
  </si>
  <si>
    <t>1</t>
  </si>
  <si>
    <t xml:space="preserve">UNITED HEALTH CARE </t>
  </si>
  <si>
    <t>985810500</t>
  </si>
  <si>
    <t>87491</t>
  </si>
  <si>
    <t>87491*1</t>
  </si>
  <si>
    <t>IADNA CHLAMYDIA TRACHOMATIS AMPLIFIED PROBE TQ</t>
  </si>
  <si>
    <t>Claim Submitted</t>
  </si>
  <si>
    <t>~/131</t>
  </si>
  <si>
    <t>CO-131</t>
  </si>
  <si>
    <t>Ascent Walk in - Webberville</t>
  </si>
  <si>
    <t xml:space="preserve">Labs, INC, North West </t>
  </si>
  <si>
    <t>87591</t>
  </si>
  <si>
    <t>87591*1</t>
  </si>
  <si>
    <t>IADNA NEISSERIA GONORRHOEAE AMPLIFIED PROBE TQ</t>
  </si>
  <si>
    <t>87491*1, 87591*1</t>
  </si>
  <si>
    <t>Daq Billing Columns</t>
  </si>
  <si>
    <t>WebPm Billing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</si>
</sst>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39" fontId="2" fillId="0" borderId="1" xfId="0" applyNumberFormat="1" applyFont="1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322E-A68C-4C91-A8CC-CCC8494A1103}">
  <dimension ref="A1:AT9"/>
  <sheetViews>
    <sheetView tabSelected="1" workbookViewId="0">
      <selection activeCell="J7" sqref="J7"/>
    </sheetView>
  </sheetViews>
  <sheetFormatPr defaultRowHeight="15" x14ac:dyDescent="0.25"/>
  <cols>
    <col min="3" max="3" width="7.7109375" bestFit="1" customWidth="1"/>
    <col min="4" max="4" width="17.28515625" bestFit="1" customWidth="1"/>
    <col min="5" max="5" width="11.85546875" bestFit="1" customWidth="1"/>
    <col min="6" max="6" width="14.42578125" bestFit="1" customWidth="1"/>
    <col min="7" max="7" width="6" bestFit="1" customWidth="1"/>
    <col min="8" max="8" width="10.42578125" bestFit="1" customWidth="1"/>
    <col min="9" max="9" width="21.85546875" bestFit="1" customWidth="1"/>
    <col min="10" max="10" width="21.140625" bestFit="1" customWidth="1"/>
    <col min="11" max="11" width="15.28515625" bestFit="1" customWidth="1"/>
    <col min="12" max="12" width="20" bestFit="1" customWidth="1"/>
    <col min="13" max="13" width="6.5703125" bestFit="1" customWidth="1"/>
    <col min="14" max="14" width="20.5703125" bestFit="1" customWidth="1"/>
    <col min="15" max="15" width="21.7109375" bestFit="1" customWidth="1"/>
    <col min="16" max="16" width="10.5703125" bestFit="1" customWidth="1"/>
    <col min="17" max="17" width="18.42578125" bestFit="1" customWidth="1"/>
    <col min="18" max="18" width="25.28515625" bestFit="1" customWidth="1"/>
    <col min="19" max="19" width="13.140625" bestFit="1" customWidth="1"/>
    <col min="20" max="20" width="16.85546875" bestFit="1" customWidth="1"/>
    <col min="21" max="21" width="12.28515625" bestFit="1" customWidth="1"/>
    <col min="22" max="22" width="13.28515625" bestFit="1" customWidth="1"/>
    <col min="23" max="23" width="19" bestFit="1" customWidth="1"/>
    <col min="24" max="24" width="12.28515625" bestFit="1" customWidth="1"/>
    <col min="25" max="25" width="44" bestFit="1" customWidth="1"/>
    <col min="26" max="26" width="24.42578125" bestFit="1" customWidth="1"/>
    <col min="27" max="27" width="11.42578125" bestFit="1" customWidth="1"/>
    <col min="28" max="28" width="13.5703125" bestFit="1" customWidth="1"/>
    <col min="29" max="29" width="10.42578125" bestFit="1" customWidth="1"/>
    <col min="30" max="30" width="13.5703125" bestFit="1" customWidth="1"/>
    <col min="31" max="31" width="16.28515625" bestFit="1" customWidth="1"/>
    <col min="32" max="32" width="19" bestFit="1" customWidth="1"/>
    <col min="33" max="33" width="18.140625" bestFit="1" customWidth="1"/>
    <col min="34" max="34" width="25" bestFit="1" customWidth="1"/>
    <col min="35" max="35" width="21" bestFit="1" customWidth="1"/>
    <col min="36" max="36" width="13.140625" bestFit="1" customWidth="1"/>
    <col min="37" max="37" width="13.5703125" bestFit="1" customWidth="1"/>
    <col min="38" max="38" width="13.140625" bestFit="1" customWidth="1"/>
    <col min="39" max="39" width="10.28515625" bestFit="1" customWidth="1"/>
    <col min="40" max="40" width="17.7109375" bestFit="1" customWidth="1"/>
    <col min="41" max="41" width="27.28515625" bestFit="1" customWidth="1"/>
    <col min="42" max="43" width="28.28515625" bestFit="1" customWidth="1"/>
    <col min="44" max="44" width="24.5703125" bestFit="1" customWidth="1"/>
    <col min="45" max="46" width="29.7109375" bestFit="1" customWidth="1"/>
  </cols>
  <sheetData>
    <row r="1" spans="1:46" x14ac:dyDescent="0.25">
      <c r="A1" s="11" t="s">
        <v>95</v>
      </c>
      <c r="B1" s="12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s="11"/>
      <c r="B2" s="12"/>
      <c r="C2" s="2" t="s">
        <v>43</v>
      </c>
      <c r="D2" s="2" t="str">
        <f t="shared" ref="D2:D4" si="0">F2&amp;T2&amp;U2</f>
        <v>33824587080053</v>
      </c>
      <c r="E2" s="2">
        <v>1368413</v>
      </c>
      <c r="F2" s="2">
        <v>3382</v>
      </c>
      <c r="G2" s="2" t="b">
        <v>1</v>
      </c>
      <c r="H2" s="2" t="s">
        <v>44</v>
      </c>
      <c r="I2" s="2">
        <v>1748</v>
      </c>
      <c r="J2" s="2" t="s">
        <v>45</v>
      </c>
      <c r="K2" s="3">
        <v>22220</v>
      </c>
      <c r="L2" s="2" t="s">
        <v>46</v>
      </c>
      <c r="M2" s="2" t="s">
        <v>47</v>
      </c>
      <c r="N2" s="2" t="s">
        <v>47</v>
      </c>
      <c r="O2" s="2" t="s">
        <v>47</v>
      </c>
      <c r="P2" s="2"/>
      <c r="Q2" s="2" t="s">
        <v>48</v>
      </c>
      <c r="R2" s="2" t="s">
        <v>49</v>
      </c>
      <c r="S2" s="2"/>
      <c r="T2" s="3">
        <v>45870</v>
      </c>
      <c r="U2" s="2">
        <v>80053</v>
      </c>
      <c r="V2" s="2"/>
      <c r="W2" s="2">
        <v>1</v>
      </c>
      <c r="X2" s="2" t="s">
        <v>50</v>
      </c>
      <c r="Y2" s="2" t="s">
        <v>51</v>
      </c>
      <c r="Z2" s="2" t="s">
        <v>50</v>
      </c>
      <c r="AA2" s="3">
        <v>45874</v>
      </c>
      <c r="AB2" s="3"/>
      <c r="AC2" s="3">
        <v>45874</v>
      </c>
      <c r="AD2" s="3"/>
      <c r="AE2" s="3">
        <v>45890</v>
      </c>
      <c r="AF2" s="4">
        <v>37</v>
      </c>
      <c r="AG2" s="4">
        <v>10.35</v>
      </c>
      <c r="AH2" s="4">
        <v>0</v>
      </c>
      <c r="AI2" s="4">
        <v>26.65</v>
      </c>
      <c r="AJ2" s="4">
        <v>0</v>
      </c>
      <c r="AK2" s="4">
        <v>0</v>
      </c>
      <c r="AL2" s="4">
        <v>0</v>
      </c>
      <c r="AM2" s="2"/>
      <c r="AN2" s="4"/>
      <c r="AO2" s="4" t="s">
        <v>52</v>
      </c>
      <c r="AP2" s="4" t="s">
        <v>52</v>
      </c>
      <c r="AR2" s="2" t="s">
        <v>53</v>
      </c>
      <c r="AS2" s="2" t="s">
        <v>54</v>
      </c>
      <c r="AT2" s="2" t="s">
        <v>55</v>
      </c>
    </row>
    <row r="3" spans="1:46" x14ac:dyDescent="0.25">
      <c r="A3" s="11"/>
      <c r="B3" s="12"/>
      <c r="C3" s="2" t="s">
        <v>43</v>
      </c>
      <c r="D3" s="2" t="str">
        <f t="shared" si="0"/>
        <v>33824587082607</v>
      </c>
      <c r="E3" s="2">
        <v>1368413</v>
      </c>
      <c r="F3" s="2">
        <v>3382</v>
      </c>
      <c r="G3" s="2" t="b">
        <v>1</v>
      </c>
      <c r="H3" s="2" t="s">
        <v>44</v>
      </c>
      <c r="I3" s="2">
        <v>1748</v>
      </c>
      <c r="J3" s="2" t="s">
        <v>45</v>
      </c>
      <c r="K3" s="3">
        <v>22220</v>
      </c>
      <c r="L3" s="2" t="s">
        <v>46</v>
      </c>
      <c r="M3" s="2" t="s">
        <v>47</v>
      </c>
      <c r="N3" s="2" t="s">
        <v>47</v>
      </c>
      <c r="O3" s="2" t="s">
        <v>47</v>
      </c>
      <c r="P3" s="2"/>
      <c r="Q3" s="2" t="s">
        <v>48</v>
      </c>
      <c r="R3" s="2" t="s">
        <v>49</v>
      </c>
      <c r="S3" s="2"/>
      <c r="T3" s="3">
        <v>45870</v>
      </c>
      <c r="U3" s="2">
        <v>82607</v>
      </c>
      <c r="V3" s="2"/>
      <c r="W3" s="2">
        <v>1</v>
      </c>
      <c r="X3" s="2" t="s">
        <v>56</v>
      </c>
      <c r="Y3" s="2" t="s">
        <v>51</v>
      </c>
      <c r="Z3" s="2" t="s">
        <v>57</v>
      </c>
      <c r="AA3" s="3">
        <v>45874</v>
      </c>
      <c r="AB3" s="3"/>
      <c r="AC3" s="3">
        <v>45874</v>
      </c>
      <c r="AD3" s="3"/>
      <c r="AE3" s="3">
        <v>45890</v>
      </c>
      <c r="AF3" s="4">
        <v>53</v>
      </c>
      <c r="AG3" s="4">
        <v>14.78</v>
      </c>
      <c r="AH3" s="4">
        <v>0</v>
      </c>
      <c r="AI3" s="4">
        <v>38.22</v>
      </c>
      <c r="AJ3" s="4">
        <v>0</v>
      </c>
      <c r="AK3" s="4">
        <v>0</v>
      </c>
      <c r="AL3" s="4">
        <v>0</v>
      </c>
      <c r="AM3" s="2"/>
      <c r="AN3" s="4"/>
      <c r="AO3" s="4" t="s">
        <v>52</v>
      </c>
      <c r="AP3" s="4" t="s">
        <v>52</v>
      </c>
      <c r="AR3" s="2" t="s">
        <v>53</v>
      </c>
      <c r="AS3" s="2" t="s">
        <v>54</v>
      </c>
      <c r="AT3" s="2" t="s">
        <v>55</v>
      </c>
    </row>
    <row r="4" spans="1:46" x14ac:dyDescent="0.25">
      <c r="A4" s="11"/>
      <c r="B4" s="12"/>
      <c r="C4" s="2" t="s">
        <v>43</v>
      </c>
      <c r="D4" s="2" t="str">
        <f t="shared" si="0"/>
        <v>33824587083036</v>
      </c>
      <c r="E4" s="2">
        <v>1368413</v>
      </c>
      <c r="F4" s="2">
        <v>3382</v>
      </c>
      <c r="G4" s="2" t="b">
        <v>0</v>
      </c>
      <c r="H4" s="2" t="s">
        <v>44</v>
      </c>
      <c r="I4" s="2">
        <v>1748</v>
      </c>
      <c r="J4" s="2" t="s">
        <v>45</v>
      </c>
      <c r="K4" s="3">
        <v>22220</v>
      </c>
      <c r="L4" s="2" t="s">
        <v>46</v>
      </c>
      <c r="M4" s="2" t="s">
        <v>47</v>
      </c>
      <c r="N4" s="2" t="s">
        <v>47</v>
      </c>
      <c r="O4" s="2" t="s">
        <v>47</v>
      </c>
      <c r="P4" s="2"/>
      <c r="Q4" s="2" t="s">
        <v>48</v>
      </c>
      <c r="R4" s="2" t="s">
        <v>49</v>
      </c>
      <c r="S4" s="2"/>
      <c r="T4" s="3">
        <v>45870</v>
      </c>
      <c r="U4" s="2">
        <v>83036</v>
      </c>
      <c r="V4" s="2"/>
      <c r="W4" s="2">
        <v>1</v>
      </c>
      <c r="X4" s="2" t="s">
        <v>58</v>
      </c>
      <c r="Y4" s="2" t="s">
        <v>51</v>
      </c>
      <c r="Z4" s="2" t="s">
        <v>59</v>
      </c>
      <c r="AA4" s="3">
        <v>45874</v>
      </c>
      <c r="AB4" s="3"/>
      <c r="AC4" s="3">
        <v>45874</v>
      </c>
      <c r="AD4" s="3"/>
      <c r="AE4" s="3">
        <v>45890</v>
      </c>
      <c r="AF4" s="4">
        <v>34</v>
      </c>
      <c r="AG4" s="4">
        <v>9.52</v>
      </c>
      <c r="AH4" s="4">
        <v>0</v>
      </c>
      <c r="AI4" s="4">
        <v>24.48</v>
      </c>
      <c r="AJ4" s="4">
        <v>0</v>
      </c>
      <c r="AK4" s="4">
        <v>0</v>
      </c>
      <c r="AL4" s="4">
        <v>0</v>
      </c>
      <c r="AM4" s="2"/>
      <c r="AN4" s="4"/>
      <c r="AO4" s="4" t="s">
        <v>52</v>
      </c>
      <c r="AP4" s="4" t="s">
        <v>52</v>
      </c>
      <c r="AR4" s="2" t="s">
        <v>53</v>
      </c>
      <c r="AS4" s="2" t="s">
        <v>54</v>
      </c>
      <c r="AT4" s="2" t="s">
        <v>55</v>
      </c>
    </row>
    <row r="7" spans="1:46" x14ac:dyDescent="0.25">
      <c r="A7" s="13" t="s">
        <v>96</v>
      </c>
      <c r="B7" s="14"/>
      <c r="C7" s="1" t="s">
        <v>0</v>
      </c>
      <c r="D7" s="1" t="s">
        <v>1</v>
      </c>
      <c r="E7" s="1" t="s">
        <v>60</v>
      </c>
      <c r="F7" s="1" t="s">
        <v>61</v>
      </c>
      <c r="G7" s="1" t="s">
        <v>4</v>
      </c>
      <c r="H7" s="1" t="s">
        <v>5</v>
      </c>
      <c r="I7" s="1" t="s">
        <v>62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63</v>
      </c>
      <c r="R7" s="1" t="s">
        <v>64</v>
      </c>
      <c r="S7" s="5" t="s">
        <v>16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21</v>
      </c>
      <c r="Y7" s="1" t="s">
        <v>69</v>
      </c>
      <c r="Z7" s="1" t="s">
        <v>23</v>
      </c>
      <c r="AA7" s="1" t="s">
        <v>24</v>
      </c>
      <c r="AB7" s="1" t="s">
        <v>25</v>
      </c>
      <c r="AC7" s="6" t="s">
        <v>26</v>
      </c>
      <c r="AD7" s="6" t="s">
        <v>27</v>
      </c>
      <c r="AE7" s="6" t="s">
        <v>70</v>
      </c>
      <c r="AF7" s="1" t="s">
        <v>29</v>
      </c>
      <c r="AG7" s="1" t="s">
        <v>30</v>
      </c>
      <c r="AH7" s="1" t="s">
        <v>71</v>
      </c>
      <c r="AI7" s="1" t="s">
        <v>72</v>
      </c>
      <c r="AJ7" s="1" t="s">
        <v>33</v>
      </c>
      <c r="AK7" s="1" t="s">
        <v>34</v>
      </c>
      <c r="AL7" s="1" t="s">
        <v>35</v>
      </c>
      <c r="AM7" s="1" t="s">
        <v>36</v>
      </c>
      <c r="AN7" s="1" t="s">
        <v>37</v>
      </c>
      <c r="AO7" s="1" t="s">
        <v>38</v>
      </c>
      <c r="AP7" s="1" t="s">
        <v>38</v>
      </c>
      <c r="AQ7" s="1" t="s">
        <v>39</v>
      </c>
      <c r="AR7" s="1" t="s">
        <v>40</v>
      </c>
      <c r="AS7" s="1" t="s">
        <v>73</v>
      </c>
      <c r="AT7" s="1" t="s">
        <v>42</v>
      </c>
    </row>
    <row r="8" spans="1:46" x14ac:dyDescent="0.25">
      <c r="A8" s="13"/>
      <c r="B8" s="14"/>
      <c r="C8" s="7" t="s">
        <v>74</v>
      </c>
      <c r="D8" s="7" t="str">
        <f>F8&amp;T8&amp;U8</f>
        <v>2062654565987491</v>
      </c>
      <c r="E8" s="7">
        <v>1201351</v>
      </c>
      <c r="F8" s="7">
        <v>206265</v>
      </c>
      <c r="G8" s="7" t="b">
        <v>1</v>
      </c>
      <c r="H8" s="7" t="s">
        <v>75</v>
      </c>
      <c r="I8" s="7" t="s">
        <v>76</v>
      </c>
      <c r="J8" s="7" t="s">
        <v>77</v>
      </c>
      <c r="K8" s="8">
        <v>36391</v>
      </c>
      <c r="L8" s="7" t="s">
        <v>78</v>
      </c>
      <c r="M8" s="7" t="s">
        <v>79</v>
      </c>
      <c r="N8" s="7" t="s">
        <v>79</v>
      </c>
      <c r="O8" s="7" t="s">
        <v>79</v>
      </c>
      <c r="P8" s="7" t="s">
        <v>80</v>
      </c>
      <c r="Q8" s="7" t="s">
        <v>81</v>
      </c>
      <c r="R8" s="7" t="s">
        <v>82</v>
      </c>
      <c r="S8" s="9">
        <v>245.64</v>
      </c>
      <c r="T8" s="8">
        <v>45659</v>
      </c>
      <c r="U8" s="7" t="s">
        <v>83</v>
      </c>
      <c r="V8" s="7"/>
      <c r="W8" s="7">
        <v>1</v>
      </c>
      <c r="X8" s="7" t="s">
        <v>84</v>
      </c>
      <c r="Y8" s="7" t="s">
        <v>85</v>
      </c>
      <c r="Z8" s="7" t="s">
        <v>84</v>
      </c>
      <c r="AA8" s="8">
        <v>45660</v>
      </c>
      <c r="AB8" s="7" t="s">
        <v>86</v>
      </c>
      <c r="AC8" s="8">
        <v>45720</v>
      </c>
      <c r="AD8" s="8" t="s">
        <v>86</v>
      </c>
      <c r="AE8" s="8">
        <v>45757</v>
      </c>
      <c r="AF8" s="9">
        <v>122.82</v>
      </c>
      <c r="AG8" s="9">
        <v>104.4</v>
      </c>
      <c r="AH8" s="9">
        <v>0</v>
      </c>
      <c r="AI8" s="9"/>
      <c r="AJ8" s="9"/>
      <c r="AK8" s="9"/>
      <c r="AL8" s="9"/>
      <c r="AM8" s="9" t="s">
        <v>87</v>
      </c>
      <c r="AN8" s="9" t="s">
        <v>88</v>
      </c>
      <c r="AO8" s="9" t="s">
        <v>88</v>
      </c>
      <c r="AP8" s="9" t="s">
        <v>88</v>
      </c>
      <c r="AQ8" s="9" t="s">
        <v>88</v>
      </c>
      <c r="AR8" s="10" t="s">
        <v>89</v>
      </c>
      <c r="AS8" s="7" t="s">
        <v>90</v>
      </c>
      <c r="AT8" s="10"/>
    </row>
    <row r="9" spans="1:46" x14ac:dyDescent="0.25">
      <c r="A9" s="13"/>
      <c r="B9" s="14"/>
      <c r="C9" s="7" t="s">
        <v>74</v>
      </c>
      <c r="D9" s="7" t="str">
        <f t="shared" ref="D9" si="1">F9&amp;T9&amp;U9</f>
        <v>2062654565987591</v>
      </c>
      <c r="E9" s="7">
        <v>1201351</v>
      </c>
      <c r="F9" s="7">
        <v>206265</v>
      </c>
      <c r="G9" s="7" t="b">
        <v>0</v>
      </c>
      <c r="H9" s="7" t="s">
        <v>75</v>
      </c>
      <c r="I9" s="7" t="s">
        <v>76</v>
      </c>
      <c r="J9" s="7" t="s">
        <v>77</v>
      </c>
      <c r="K9" s="8">
        <v>36391</v>
      </c>
      <c r="L9" s="7" t="s">
        <v>78</v>
      </c>
      <c r="M9" s="7" t="s">
        <v>79</v>
      </c>
      <c r="N9" s="7" t="s">
        <v>79</v>
      </c>
      <c r="O9" s="7" t="s">
        <v>79</v>
      </c>
      <c r="P9" s="7" t="s">
        <v>80</v>
      </c>
      <c r="Q9" s="7" t="s">
        <v>81</v>
      </c>
      <c r="R9" s="7" t="s">
        <v>82</v>
      </c>
      <c r="S9" s="9">
        <v>245.64</v>
      </c>
      <c r="T9" s="8">
        <v>45659</v>
      </c>
      <c r="U9" s="7" t="s">
        <v>91</v>
      </c>
      <c r="V9" s="7"/>
      <c r="W9" s="7">
        <v>1</v>
      </c>
      <c r="X9" s="7" t="s">
        <v>92</v>
      </c>
      <c r="Y9" s="7" t="s">
        <v>93</v>
      </c>
      <c r="Z9" s="7" t="s">
        <v>94</v>
      </c>
      <c r="AA9" s="8">
        <v>45660</v>
      </c>
      <c r="AB9" s="7" t="s">
        <v>86</v>
      </c>
      <c r="AC9" s="8">
        <v>45720</v>
      </c>
      <c r="AD9" s="8" t="s">
        <v>86</v>
      </c>
      <c r="AE9" s="8">
        <v>45757</v>
      </c>
      <c r="AF9" s="9">
        <v>122.82</v>
      </c>
      <c r="AG9" s="9">
        <v>104.4</v>
      </c>
      <c r="AH9" s="9">
        <v>0</v>
      </c>
      <c r="AI9" s="9"/>
      <c r="AJ9" s="9"/>
      <c r="AK9" s="9"/>
      <c r="AL9" s="9"/>
      <c r="AM9" s="9" t="s">
        <v>87</v>
      </c>
      <c r="AN9" s="9" t="s">
        <v>88</v>
      </c>
      <c r="AO9" s="9" t="s">
        <v>88</v>
      </c>
      <c r="AP9" s="9" t="s">
        <v>88</v>
      </c>
      <c r="AQ9" s="9" t="s">
        <v>88</v>
      </c>
      <c r="AR9" s="10" t="s">
        <v>89</v>
      </c>
      <c r="AS9" s="7" t="s">
        <v>90</v>
      </c>
      <c r="AT9" s="10"/>
    </row>
  </sheetData>
  <mergeCells count="2">
    <mergeCell ref="A1:B4"/>
    <mergeCell ref="A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2026-07-31T13:30:42Z</dcterms:created>
  <dcterms:modified xsi:type="dcterms:W3CDTF">2026-07-31T13:42:41Z</dcterms:modified>
</cp:coreProperties>
</file>